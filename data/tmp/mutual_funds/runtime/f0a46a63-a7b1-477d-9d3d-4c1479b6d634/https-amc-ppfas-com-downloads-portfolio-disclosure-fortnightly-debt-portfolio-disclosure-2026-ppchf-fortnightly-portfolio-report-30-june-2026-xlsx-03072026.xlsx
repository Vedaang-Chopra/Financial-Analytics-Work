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MC\RAJU_from 20032020\Fact Sheet\2026-27\June 2026\Fortnightly\30 June 2026\Final\"/>
    </mc:Choice>
  </mc:AlternateContent>
  <xr:revisionPtr revIDLastSave="0" documentId="8_{DC43F97B-9E33-4CDE-9A1E-97C5CFAFD3EB}" xr6:coauthVersionLast="47" xr6:coauthVersionMax="47" xr10:uidLastSave="{00000000-0000-0000-0000-000000000000}"/>
  <bookViews>
    <workbookView xWindow="-120" yWindow="-120" windowWidth="29040" windowHeight="15720" xr2:uid="{A4FF1AE3-F69B-4390-81DB-F172CB5B7E6F}"/>
  </bookViews>
  <sheets>
    <sheet name="PPCHF" sheetId="1" r:id="rId1"/>
  </sheets>
  <externalReferences>
    <externalReference r:id="rId2"/>
  </externalReferences>
  <definedNames>
    <definedName name="_xlnm._FilterDatabase" localSheetId="0" hidden="1">PPCHF!$A$137:$K$143</definedName>
    <definedName name="JR_PAGE_ANCHOR_0_1">#REF!</definedName>
    <definedName name="JR_PAGE_ANCHOR_0_10">#REF!</definedName>
    <definedName name="JR_PAGE_ANCHOR_0_2">#REF!</definedName>
    <definedName name="JR_PAGE_ANCHOR_0_4">#REF!</definedName>
    <definedName name="JR_PAGE_ANCHOR_0_5">#REF!</definedName>
    <definedName name="JR_PAGE_ANCHOR_0_6">PPCHF!$A$1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2" i="1" l="1"/>
  <c r="C199" i="1"/>
  <c r="C195" i="1"/>
  <c r="C200" i="1" s="1"/>
  <c r="C194" i="1"/>
  <c r="C201" i="1" s="1"/>
  <c r="C192" i="1"/>
  <c r="C191" i="1"/>
  <c r="G132" i="1"/>
  <c r="F132" i="1"/>
  <c r="G23" i="1"/>
  <c r="F23" i="1"/>
  <c r="G14" i="1"/>
  <c r="F14" i="1"/>
  <c r="C196" i="1" l="1"/>
  <c r="C203" i="1" s="1"/>
</calcChain>
</file>

<file path=xl/sharedStrings.xml><?xml version="1.0" encoding="utf-8"?>
<sst xmlns="http://schemas.openxmlformats.org/spreadsheetml/2006/main" count="591" uniqueCount="456">
  <si>
    <t>Parag Parikh Conservative Hybrid Fund (An open-ended hybrid scheme investing predominantly in debt instruments)</t>
  </si>
  <si>
    <t xml:space="preserve">
  </t>
  </si>
  <si>
    <t>Fortnightly  Portfolio Statement as on June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</si>
  <si>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</si>
  <si>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</si>
  <si>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</si>
  <si>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</si>
  <si>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</si>
  <si>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</si>
  <si>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</si>
  <si>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</si>
  <si>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</si>
  <si>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</si>
  <si>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</si>
  <si>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</si>
  <si>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</si>
  <si>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</si>
  <si>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</si>
  <si>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</si>
  <si>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</si>
  <si>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</si>
  <si>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Power</t>
  </si>
  <si>
    <t>PLNG01</t>
  </si>
  <si>
    <t>Petronet LNG Limited</t>
  </si>
  <si>
    <t>INE347G01014</t>
  </si>
  <si>
    <t>Gas</t>
  </si>
  <si>
    <t>ITCL02</t>
  </si>
  <si>
    <t>ITC Limited</t>
  </si>
  <si>
    <t>INE154A01025</t>
  </si>
  <si>
    <t>Diversified FMCG</t>
  </si>
  <si>
    <t>RELC01</t>
  </si>
  <si>
    <t>REC Limited</t>
  </si>
  <si>
    <t>INE020B01018</t>
  </si>
  <si>
    <t>Finance</t>
  </si>
  <si>
    <t>SWEN01</t>
  </si>
  <si>
    <t>Swaraj Engines Limited</t>
  </si>
  <si>
    <t>INE277A01016</t>
  </si>
  <si>
    <t>Industrial Products</t>
  </si>
  <si>
    <t>BINL01</t>
  </si>
  <si>
    <t>Indus Towers Limited</t>
  </si>
  <si>
    <t>INE121J01017</t>
  </si>
  <si>
    <t>Telecom - Services</t>
  </si>
  <si>
    <t>Sub Total</t>
  </si>
  <si>
    <t>Arbitrage</t>
  </si>
  <si>
    <t>NITL02</t>
  </si>
  <si>
    <t>Coforge Limited</t>
  </si>
  <si>
    <t>INE591G01025</t>
  </si>
  <si>
    <t>IT - Software</t>
  </si>
  <si>
    <t>BAFL03</t>
  </si>
  <si>
    <t>Bajaj Finance Limited</t>
  </si>
  <si>
    <t>INE296A01032</t>
  </si>
  <si>
    <t>BTVL02</t>
  </si>
  <si>
    <t>Bharti Airtel Limited</t>
  </si>
  <si>
    <t>INE397D01024</t>
  </si>
  <si>
    <t>GUAM02</t>
  </si>
  <si>
    <t>Ambuja Cements Limited</t>
  </si>
  <si>
    <t>INE079A01024</t>
  </si>
  <si>
    <t>Cement &amp; Cement Products</t>
  </si>
  <si>
    <t>HALT02</t>
  </si>
  <si>
    <t>Hindustan Aeronautics Limited</t>
  </si>
  <si>
    <t>INE066F01020</t>
  </si>
  <si>
    <t>Aerospace &amp; Defense</t>
  </si>
  <si>
    <t>Special situation</t>
  </si>
  <si>
    <t>JBCH03</t>
  </si>
  <si>
    <t>JB Chemicals &amp; Pharmaceuticals Limited</t>
  </si>
  <si>
    <t>INE572A01036</t>
  </si>
  <si>
    <t>Pharmaceuticals &amp; Biotechnology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</si>
  <si>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</si>
  <si>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</si>
  <si>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</si>
  <si>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</si>
  <si>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</si>
  <si>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</si>
  <si>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</si>
  <si>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</si>
  <si>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MEBP01</t>
  </si>
  <si>
    <t>Mindspace Business Parks REIT</t>
  </si>
  <si>
    <t>INE0CCU25019</t>
  </si>
  <si>
    <t>(c) Unlisted</t>
  </si>
  <si>
    <t>NIL</t>
  </si>
  <si>
    <t>Total</t>
  </si>
  <si>
    <t>Debt Instruments</t>
  </si>
  <si>
    <t>(a) Listed / awaiting listing on Stock Exchange</t>
  </si>
  <si>
    <t>GOI3472</t>
  </si>
  <si>
    <t>7.08% Uttar Pradesh SDL (MD 17/02/2031)</t>
  </si>
  <si>
    <t>IN3320200295</t>
  </si>
  <si>
    <t>Sovereign</t>
  </si>
  <si>
    <t>GOI6435</t>
  </si>
  <si>
    <t>7.08% Karnataka SDL (MD 12/08/2031)</t>
  </si>
  <si>
    <t>IN1920240232</t>
  </si>
  <si>
    <t>GOI5005</t>
  </si>
  <si>
    <t>7.72% Maharashtra SDL (MD 01/03/2031)</t>
  </si>
  <si>
    <t>IN2220220171</t>
  </si>
  <si>
    <t>GOI7466</t>
  </si>
  <si>
    <t>7.38% Karnataka SDL (MD 04/09/2034)</t>
  </si>
  <si>
    <t>IN1920250272</t>
  </si>
  <si>
    <t>GOI4829</t>
  </si>
  <si>
    <t>7.82% Tamilnadu SDL (MD 27/10/2032)</t>
  </si>
  <si>
    <t>IN3120220188</t>
  </si>
  <si>
    <t>GOI3253</t>
  </si>
  <si>
    <t>7.93% Uttar Pradesh SDL (MD 24/03/2030)</t>
  </si>
  <si>
    <t>IN3320190272</t>
  </si>
  <si>
    <t>GOI4808</t>
  </si>
  <si>
    <t>7.76% Maharashtra SDL (MD 04/10/2030)</t>
  </si>
  <si>
    <t>IN2220220122</t>
  </si>
  <si>
    <t>GOI5429</t>
  </si>
  <si>
    <t>7.55% Gujarat SDL (MD 20/12/2031)</t>
  </si>
  <si>
    <t>IN1520230138</t>
  </si>
  <si>
    <t>SIDB593</t>
  </si>
  <si>
    <t>7.49% SIDBI NCD Ser VIII (MD 11/06/2029)</t>
  </si>
  <si>
    <t>INE556F08KX8</t>
  </si>
  <si>
    <t>CRISIL AAA</t>
  </si>
  <si>
    <t>EOPR46</t>
  </si>
  <si>
    <t>7.49% Embassy Off Park RE NCD Sr XVII (22/06/2029)</t>
  </si>
  <si>
    <t>INE041007217</t>
  </si>
  <si>
    <t>GOI3493</t>
  </si>
  <si>
    <t>6.78% Maharashtra SDL (MD 25/05/2031)</t>
  </si>
  <si>
    <t>IN2220210073</t>
  </si>
  <si>
    <t>GOI4555</t>
  </si>
  <si>
    <t>7.61% Gujarat SDL (MD 03/08/2032)</t>
  </si>
  <si>
    <t>IN1520220071</t>
  </si>
  <si>
    <t>GOI5195</t>
  </si>
  <si>
    <t>7.33% Maharashtra SDL (MD 31/05/2031)</t>
  </si>
  <si>
    <t>IN2220230055</t>
  </si>
  <si>
    <t>NBAR787</t>
  </si>
  <si>
    <t>7.64% NABARD Sr 25B NCD (MD 06/12/2029) #</t>
  </si>
  <si>
    <t>INE261F08EJ7</t>
  </si>
  <si>
    <t>ICRA AAA</t>
  </si>
  <si>
    <t>GOI5840</t>
  </si>
  <si>
    <t>7.39% Tamilnadu SDL (MD 12/06/2032)</t>
  </si>
  <si>
    <t>IN3120240111</t>
  </si>
  <si>
    <t>NBAR803</t>
  </si>
  <si>
    <t>7.40 % NABARD NCD Sr 25D (MD 29/04/2030)</t>
  </si>
  <si>
    <t>INE261F08EL3</t>
  </si>
  <si>
    <t>GOI5621</t>
  </si>
  <si>
    <t>7.36% Karnataka SDL (MD 13/03/2034)</t>
  </si>
  <si>
    <t>IN1920230316</t>
  </si>
  <si>
    <t>GOI7424</t>
  </si>
  <si>
    <t>7.12% Tamilnadu SDL (MD 18/02/2032)</t>
  </si>
  <si>
    <t>IN3120250722</t>
  </si>
  <si>
    <t>GOI7009</t>
  </si>
  <si>
    <t>7.01% Gujarat SDL (MD 03/09/2031)</t>
  </si>
  <si>
    <t>IN1520250136</t>
  </si>
  <si>
    <t>GOI6535</t>
  </si>
  <si>
    <t>7.14% Madhya Pradesh SDL (MD 19/03/2032)</t>
  </si>
  <si>
    <t>IN2120240246</t>
  </si>
  <si>
    <t>BAFL974</t>
  </si>
  <si>
    <t>7.3763% Bajaj Fina NCD (MD 26/06/2028) #</t>
  </si>
  <si>
    <t>INE296A07TJ4</t>
  </si>
  <si>
    <t>GOI4737</t>
  </si>
  <si>
    <t>7.64% Maharashtra SDL (MD 28/09/2032)</t>
  </si>
  <si>
    <t>IN2220220114</t>
  </si>
  <si>
    <t>GOI3050</t>
  </si>
  <si>
    <t>7.17% Uttar Pradesh SDL (MD 10/03/2031)</t>
  </si>
  <si>
    <t>IN3320200329</t>
  </si>
  <si>
    <t>GOI5368</t>
  </si>
  <si>
    <t>7.7% Karnataka SDL (MD 08/11/2033)</t>
  </si>
  <si>
    <t>IN1920230068</t>
  </si>
  <si>
    <t>GOI5052</t>
  </si>
  <si>
    <t>7.73% Maharashtra SDL (MD 29/03/2032)</t>
  </si>
  <si>
    <t>IN2220220254</t>
  </si>
  <si>
    <t>GOI4932</t>
  </si>
  <si>
    <t>7.6% Karnataka SDL (MD 04/01/2033)</t>
  </si>
  <si>
    <t>IN1920220168</t>
  </si>
  <si>
    <t>GOI3489</t>
  </si>
  <si>
    <t>6.83% Maharashtra SDL (MD 25/05/2032)</t>
  </si>
  <si>
    <t>IN2220210081</t>
  </si>
  <si>
    <t>GOI4804</t>
  </si>
  <si>
    <t>7.79% Tamilnadu SDL (MD 04/10/2032)</t>
  </si>
  <si>
    <t>IN3120220170</t>
  </si>
  <si>
    <t>GOI5023</t>
  </si>
  <si>
    <t>7.7% Maharashtra SDL (MD 08/03/2031)</t>
  </si>
  <si>
    <t>IN2220220197</t>
  </si>
  <si>
    <t>GOI5044</t>
  </si>
  <si>
    <t>7.72% Maharashtra SDL (MD 23/03/2032)</t>
  </si>
  <si>
    <t>IN2220220239</t>
  </si>
  <si>
    <t>GOI5833</t>
  </si>
  <si>
    <t>7.02% GOI (MD 18/06/2031)</t>
  </si>
  <si>
    <t>IN0020240076</t>
  </si>
  <si>
    <t>GOI5405</t>
  </si>
  <si>
    <t>7.75% Uttarpradesh SDL (MD 29/11/2033)</t>
  </si>
  <si>
    <t>IN3320230193</t>
  </si>
  <si>
    <t>GOI6046</t>
  </si>
  <si>
    <t>7.5% Tamilnadu SDL (MD 24/04/2031)</t>
  </si>
  <si>
    <t>IN3120240020</t>
  </si>
  <si>
    <t>LICH679</t>
  </si>
  <si>
    <t>7.75% LIC Housing Fin Ltd NCD Tr444 (MD23/08/29)</t>
  </si>
  <si>
    <t>INE115A07QU9</t>
  </si>
  <si>
    <t>BAFL926</t>
  </si>
  <si>
    <t>8.12% Bajaj Fin Ltd NCD SR289 OPTIII (MD 10/09/27)</t>
  </si>
  <si>
    <t>INE296A07TC9</t>
  </si>
  <si>
    <t>GOI6010</t>
  </si>
  <si>
    <t>7.27% Tamilnadu SDL (MD 31/07/2032)</t>
  </si>
  <si>
    <t>IN3120240186</t>
  </si>
  <si>
    <t>SIDB598</t>
  </si>
  <si>
    <t>7.39% SIDBI NCD Ser IX (MD 21/03/2030) #</t>
  </si>
  <si>
    <t>INE556F08KY6</t>
  </si>
  <si>
    <t>BAFL730</t>
  </si>
  <si>
    <t>7.60% Bajaj Fin Ltd NCD Opt 1 (MD 11/02/2030)</t>
  </si>
  <si>
    <t>INE296A07RD1</t>
  </si>
  <si>
    <t>LICH701</t>
  </si>
  <si>
    <t>6.90% LIC Housing Fin Ltd NCD Tr456(MD 17/09/2027) #</t>
  </si>
  <si>
    <t>INE115A07RH4</t>
  </si>
  <si>
    <t>NABA26</t>
  </si>
  <si>
    <t>7.03%National Bk Fin Infra tranch I NCD (MD8/4/30)</t>
  </si>
  <si>
    <t>INE0KUG08076</t>
  </si>
  <si>
    <t>BAFL977</t>
  </si>
  <si>
    <t>7.38% Bajaj Finance Ltd NCD Opt II (MD 28/06/2030)</t>
  </si>
  <si>
    <t>INE296A07TL0</t>
  </si>
  <si>
    <t>LICH700</t>
  </si>
  <si>
    <t>7.07% LIC Hsg Fin Tr 455 NCD (MD 29/04/2030)</t>
  </si>
  <si>
    <t>INE115A07RG6</t>
  </si>
  <si>
    <t>NABA30</t>
  </si>
  <si>
    <t>6.86% National Bk Fin Infra TR I (MD 13/11/2030)</t>
  </si>
  <si>
    <t>INE0KUG08100</t>
  </si>
  <si>
    <t>GOI3700</t>
  </si>
  <si>
    <t>6.89% Karnataka SDL (MD 15/12/2033)</t>
  </si>
  <si>
    <t>IN1920210169</t>
  </si>
  <si>
    <t>TCAL552</t>
  </si>
  <si>
    <t>8.15% Tata Capital Ltd NCD (MD 11/06/2029) #</t>
  </si>
  <si>
    <t>INE976I07DF6</t>
  </si>
  <si>
    <t>GOI2360</t>
  </si>
  <si>
    <t>8.68% Andhra Pradesh SDL (MD 24/10/2030)</t>
  </si>
  <si>
    <t>IN1020180304</t>
  </si>
  <si>
    <t>GOI2101</t>
  </si>
  <si>
    <t>8.48% Kerala SDL (MD 08/08/2030)</t>
  </si>
  <si>
    <t>IN2020180070</t>
  </si>
  <si>
    <t>GOI6690</t>
  </si>
  <si>
    <t>7.05% Madhya Pradesh SDL (MD 26/03/2032)</t>
  </si>
  <si>
    <t>IN2120240279</t>
  </si>
  <si>
    <t>IGIF47</t>
  </si>
  <si>
    <t>7.07% IndiGrid Inf NCD SR AF (20/06/2030)</t>
  </si>
  <si>
    <t>INE219X07520</t>
  </si>
  <si>
    <t>GOI2775</t>
  </si>
  <si>
    <t>6.75% Karnataka SDL (MD 14/10/2033)</t>
  </si>
  <si>
    <t>IN1920200327</t>
  </si>
  <si>
    <t>GOI2165</t>
  </si>
  <si>
    <t>8.43% Andhra Pradesh SDL (MD 05/12/2030)</t>
  </si>
  <si>
    <t>IN1020180361</t>
  </si>
  <si>
    <t>GOI6899</t>
  </si>
  <si>
    <t>7.84% Rajasthan SDL (MD 27/10/2032)</t>
  </si>
  <si>
    <t>IN2920220190</t>
  </si>
  <si>
    <t>GOI4487</t>
  </si>
  <si>
    <t>7.83% Rajasthan SDL (MD 22/06/2032)</t>
  </si>
  <si>
    <t>IN2920220042</t>
  </si>
  <si>
    <t>GOI5210</t>
  </si>
  <si>
    <t>7.78% Rajasthan SDL (MD 29/03/2033)</t>
  </si>
  <si>
    <t>IN2920220349</t>
  </si>
  <si>
    <t>GOI5333</t>
  </si>
  <si>
    <t>7.65% Tamilnadu SDL (MD 18/10/2033)</t>
  </si>
  <si>
    <t>IN3120230260</t>
  </si>
  <si>
    <t>GOI5125</t>
  </si>
  <si>
    <t>7.41% Andhra Pradesh SDL (MD 26/04/2030)</t>
  </si>
  <si>
    <t>IN1020230042</t>
  </si>
  <si>
    <t>GOI5144</t>
  </si>
  <si>
    <t>7.34% Maharashtra SDL (MD 14/06/2031)</t>
  </si>
  <si>
    <t>IN2220230071</t>
  </si>
  <si>
    <t>GOI4069</t>
  </si>
  <si>
    <t>7.12% Gujarat SDL (MD 02/03/2032)</t>
  </si>
  <si>
    <t>IN1520210213</t>
  </si>
  <si>
    <t>GOI2740</t>
  </si>
  <si>
    <t>7.1% Maharashtra SDL (MD 30/09/2032)</t>
  </si>
  <si>
    <t>IN2220200207</t>
  </si>
  <si>
    <t>GOI6654</t>
  </si>
  <si>
    <t>7.1% Tamilnadu SDL (MD 27/11/2032)</t>
  </si>
  <si>
    <t>IN3120240376</t>
  </si>
  <si>
    <t>GOI2743</t>
  </si>
  <si>
    <t>7.05% Maharashtra SDL (MD 07/10/2032)</t>
  </si>
  <si>
    <t>IN2220200231</t>
  </si>
  <si>
    <t>GOI3891</t>
  </si>
  <si>
    <t>6.88% Karnataka SDL (MD 08/12/2032)</t>
  </si>
  <si>
    <t>IN1920210144</t>
  </si>
  <si>
    <t>GOI6815</t>
  </si>
  <si>
    <t>7.03% Karnataka SDL (MD 26/09/2033)</t>
  </si>
  <si>
    <t>IN1920240331</t>
  </si>
  <si>
    <t>GOI7345</t>
  </si>
  <si>
    <t>7.15% Karnataka SDL (MD 28/07/2031)</t>
  </si>
  <si>
    <t>IN1920250132</t>
  </si>
  <si>
    <t>GOI3409</t>
  </si>
  <si>
    <t>8.61% Punjab SDL (MD 14/11/2028)</t>
  </si>
  <si>
    <t>IN2820180106</t>
  </si>
  <si>
    <t>GOI1989</t>
  </si>
  <si>
    <t>8.5% Andhra Pradesh SDL (MD 28/03/2029)</t>
  </si>
  <si>
    <t>IN1020140134</t>
  </si>
  <si>
    <t>GOI5284</t>
  </si>
  <si>
    <t>7.7% Rajasthan SDL (MD 18/05/2032)</t>
  </si>
  <si>
    <t>IN2920220018</t>
  </si>
  <si>
    <t>GOI5006</t>
  </si>
  <si>
    <t>7.74% Maharashtra SDL (MD 01/03/2033)</t>
  </si>
  <si>
    <t>IN2220220189</t>
  </si>
  <si>
    <t>GOI5122</t>
  </si>
  <si>
    <t>7.32% Maharashtra SDL (MD 31/05/2032)</t>
  </si>
  <si>
    <t>IN2220230063</t>
  </si>
  <si>
    <t>GOI6138</t>
  </si>
  <si>
    <t>7.33% Tamilnadu SDL (MD 24/07/2032)</t>
  </si>
  <si>
    <t>IN3120240152</t>
  </si>
  <si>
    <t>GOI5101</t>
  </si>
  <si>
    <t>7.39% Tamilnadu SDL (MD 10/05/2033)</t>
  </si>
  <si>
    <t>IN3120230021</t>
  </si>
  <si>
    <t>IGIF29</t>
  </si>
  <si>
    <t>7.7% IndiGRID Infra Trust Ser 3 (MD 06/05/2028)</t>
  </si>
  <si>
    <t>INE219X07215</t>
  </si>
  <si>
    <t>GOI6496</t>
  </si>
  <si>
    <t>7.22% Karnataka SDL (MD 05/09/2032)</t>
  </si>
  <si>
    <t>IN1920240299</t>
  </si>
  <si>
    <t>GOI6563</t>
  </si>
  <si>
    <t>7.21% Tamilnadu SDL (MD 05/09/2032)</t>
  </si>
  <si>
    <t>IN3120240616</t>
  </si>
  <si>
    <t>GOI6897</t>
  </si>
  <si>
    <t>6.97% Tamilnadu SDL (MD 18/08/2031)</t>
  </si>
  <si>
    <t>IN3120210171</t>
  </si>
  <si>
    <t>GOI3619</t>
  </si>
  <si>
    <t>6.97% Tamilnadu SDL (MD 13/10/2031)</t>
  </si>
  <si>
    <t>IN3120210213</t>
  </si>
  <si>
    <t>GOI3665</t>
  </si>
  <si>
    <t>6.83% Karnataka SDL (MD 15/12/2031)</t>
  </si>
  <si>
    <t>IN1920210151</t>
  </si>
  <si>
    <t>(b) Privately placed / Unlisted</t>
  </si>
  <si>
    <t>Money Market Instruments</t>
  </si>
  <si>
    <t>Treasury Bill</t>
  </si>
  <si>
    <t>TBIL2542</t>
  </si>
  <si>
    <t>364 Days Tbill (MD 30/07/2026)</t>
  </si>
  <si>
    <t>IN002025Z187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</si>
  <si>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</si>
  <si>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</si>
  <si>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</si>
  <si>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</si>
  <si>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</si>
  <si>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</si>
  <si>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Mutual Fund Units</t>
  </si>
  <si>
    <t>143269</t>
  </si>
  <si>
    <t>Parag Parikh Liquid Fund- Direct Plan- Growth</t>
  </si>
  <si>
    <t>INF879O01068</t>
  </si>
  <si>
    <t>Reverse Repo / TREPS</t>
  </si>
  <si>
    <t>TRP_010726</t>
  </si>
  <si>
    <t>Clearing Corporation of India Ltd</t>
  </si>
  <si>
    <t>Net Receivables / (Payables)</t>
  </si>
  <si>
    <t>GRAND TOTAL</t>
  </si>
  <si>
    <t>Derivatives</t>
  </si>
  <si>
    <t>Long / (Short)</t>
  </si>
  <si>
    <t>Market value 
(Rs. in Lakhs)</t>
  </si>
  <si>
    <t>% to AUM</t>
  </si>
  <si>
    <t>Notes &amp; Symbols</t>
  </si>
  <si>
    <t>Index / Stock Futures</t>
  </si>
  <si>
    <t>NITLJUL26</t>
  </si>
  <si>
    <t>Coforge Limited July 2026 Future</t>
  </si>
  <si>
    <t>(Short)</t>
  </si>
  <si>
    <t>BAFLJUL26</t>
  </si>
  <si>
    <t>Bajaj Finance Limited July 2026 Future</t>
  </si>
  <si>
    <t>BTVLAUG26</t>
  </si>
  <si>
    <t>Bharti Airtel Limited August 2026 Future</t>
  </si>
  <si>
    <t>TOPHJUL26</t>
  </si>
  <si>
    <t>Torrent Pharmaceuticals Limited July 2026 Future</t>
  </si>
  <si>
    <t>GUAMJUL26</t>
  </si>
  <si>
    <t>Ambuja Cements Limited July 2026 Future</t>
  </si>
  <si>
    <t>HALTJUL26</t>
  </si>
  <si>
    <t>Hindustan Aeronautics Limited July 2026 Future</t>
  </si>
  <si>
    <t># Traded</t>
  </si>
  <si>
    <t xml:space="preserve">$  Less Than 0.01% of Net Asset Value </t>
  </si>
  <si>
    <t>~ Yield to Maturity (YTM) as on June 30, 2026</t>
  </si>
  <si>
    <t>^ Pursuant to AMFI circular no. 135/BP/91/2020-21, Yield to Call (YTC) for AT-1 bonds and Tier-2 bonds as on June 30,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</si>
  <si>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</si>
  <si>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</si>
  <si>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</si>
  <si>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</si>
  <si>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</si>
  <si>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</si>
  <si>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</si>
  <si>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</si>
  <si>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</si>
  <si>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</si>
  <si>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</si>
  <si>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 Conservative Hybrid Fund - Direct Plan - Growth</t>
  </si>
  <si>
    <t>Parag Parikh Conservative Hybrid Fund - Direct Plan - Monthly IDCW</t>
  </si>
  <si>
    <t>Regular Plan</t>
  </si>
  <si>
    <t>Parag Parikh Conservative Hybrid Fund - Regular Plan - Growth</t>
  </si>
  <si>
    <t>Parag Parikh Conservative Hybrid Fund - Regular Plan - Monthly IDCW</t>
  </si>
  <si>
    <t>3.   Total Dividend (Net) declared during the period ended 30 June 2026 - Nil</t>
  </si>
  <si>
    <t>Record Date</t>
  </si>
  <si>
    <t>Monthly IDCW* (Direct)</t>
  </si>
  <si>
    <t>Dividend Per Unit
(Huf &amp; Individuals)</t>
  </si>
  <si>
    <t>Dividend Per Unit 
(Others)</t>
  </si>
  <si>
    <t>Jun 2026</t>
  </si>
  <si>
    <t>Direct Plan- Monthly IDCW*</t>
  </si>
  <si>
    <t>Monthly IDCW* (Regular)</t>
  </si>
  <si>
    <t>Regular Plan- Monthly IDCW*</t>
  </si>
  <si>
    <t>4.   Total Bonus declared during the period ended  30 June 2026 - Nil</t>
  </si>
  <si>
    <t>5.    Total outstanding exposure in derivative instruments as on 30 June 2026 ( 503467192.5)</t>
  </si>
  <si>
    <t xml:space="preserve">       (Gross exposure means sum of all long and short positions in derivatives)</t>
  </si>
  <si>
    <t>6.    Total investment in Foreign Securities / ADRs / GDRs as on 30 June 2026 - Nil</t>
  </si>
  <si>
    <t>7.    Details of transactions of Credit Default Swap for the month ended 30 June 2026 - Nil</t>
  </si>
  <si>
    <t>8.   Average Portfolio Maturity is 1345 Days</t>
  </si>
  <si>
    <t>9.  Repo transactions in corporate debt securities during the period ending 30 June 2026 Nil</t>
  </si>
  <si>
    <t>10.Total Commission for the Period ended  June 30, 2026 is Rs. 1976490.79</t>
  </si>
  <si>
    <t>11.Total Brokerage for Buying/ Selling of Investments for the period ended 30 June 2026 is 1,15,541.53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</si>
  <si>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</si>
  <si>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</si>
  <si>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</si>
  <si>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</si>
  <si>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Equity &amp; Equity related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</si>
  <si>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</si>
  <si>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</si>
  <si>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</si>
  <si>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</si>
  <si>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</si>
  <si>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Others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</si>
  <si>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</si>
  <si>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</si>
  <si>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</si>
  <si>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13.  Disclosure for investments in derivative instruments</t>
  </si>
  <si>
    <t>A. Hedging Positions through Futures as on 30 June 2026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</si>
  <si>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</si>
  <si>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</si>
  <si>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</si>
  <si>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</si>
  <si>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</si>
  <si>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
(Rs. In Lakhs)</t>
  </si>
  <si>
    <t>JUL26</t>
  </si>
  <si>
    <t>Short</t>
  </si>
  <si>
    <t>AUG26</t>
  </si>
  <si>
    <t>Torrent Pharmaceuticals Limited</t>
  </si>
  <si>
    <t>Total exposure through futures as  % of net assets : (1.26)%</t>
  </si>
  <si>
    <t>For the period 16-Jun-2026 to 30-Jun-2026, the following details specified for hedging transactions through futures which have been squared off/expired :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</si>
  <si>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</si>
  <si>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</si>
  <si>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</si>
  <si>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</si>
  <si>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</si>
  <si>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</si>
  <si>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</si>
  <si>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</si>
  <si>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</si>
  <si>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Nil.</t>
  </si>
  <si>
    <t>B. Other than Hedging Positions through Futures as on  30-Jun-2026 : Nil</t>
  </si>
  <si>
    <t xml:space="preserve">For the period 16-Jun-2026 to 30-Jun-2026, the following details specified for Other than hedging transactions through futures which have been squared off/expired : Nil </t>
  </si>
  <si>
    <t>C. Hedging Position through Put Option as on 30-Jun-2026 : Nil</t>
  </si>
  <si>
    <t>D. Other than Hedging Positions through Options as on 30-Jun-2026 : Nil</t>
  </si>
  <si>
    <t xml:space="preserve">For the period 16-Jun-2026 to 30-Jun-2026, the following details specified for non-hedging transactions through options which have already been exercised/expired :  </t>
  </si>
  <si>
    <t>Total Number of contracts entered into</t>
  </si>
  <si>
    <t>Gross Notional Value of contracts entered into Rs.</t>
  </si>
  <si>
    <t>Net Profit/Loss value on all contracts (treat premium paid as loss) Rs.</t>
  </si>
  <si>
    <t>E. Hedging Positions through swaps as on 30-Jun-2026: Nil</t>
  </si>
  <si>
    <t>Debt Quants as on  as on June 30, 2026</t>
  </si>
  <si>
    <t>Avg maturity of the fund (Years)</t>
  </si>
  <si>
    <t>Modified duration (years)</t>
  </si>
  <si>
    <t>Macaulay Duration (years)</t>
  </si>
  <si>
    <t>YTM** ( Regular &amp; Direct )</t>
  </si>
  <si>
    <t>All the above debt quants ratios are computed excluding investment in CDMDF units</t>
  </si>
  <si>
    <t>** YTM is calculated on the basis of annualised yield for all securities.</t>
  </si>
  <si>
    <t>This Product is suitable for investors who are seeking*</t>
  </si>
  <si>
    <t xml:space="preserve">      -    To generate regular income through investments predominantly in debt and money market instruments.</t>
  </si>
  <si>
    <t xml:space="preserve">      -    Long term capital appreciation from the portion of equity investments under the scheme.</t>
  </si>
  <si>
    <t xml:space="preserve">      *   Investors should consult their financial advisers if in doubt about whether the product is suitable for them.</t>
  </si>
  <si>
    <t>AMFI Tier 1 Benchmark’s Riskometer</t>
  </si>
  <si>
    <t>Scheme’s Riskometer</t>
  </si>
  <si>
    <t>(CRISIL Hybrid 85+15 Conservative Index 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</si>
</sst>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_-* #,##0.00_-;\-* #,##0.00_-;_-* &quot;-&quot;??_-;_-@_-"/>
    <numFmt numFmtId="170" formatCode="[$-809]dd\ mmmm\ yyyy;@"/>
    <numFmt numFmtId="171" formatCode="0.0000"/>
    <numFmt numFmtId="172" formatCode="[$-409]d/mmm/yy;@"/>
    <numFmt numFmtId="173" formatCode="0.00000000"/>
    <numFmt numFmtId="174" formatCode="0.0000%"/>
    <numFmt numFmtId="175" formatCode="dd/mm/yyyy;@"/>
    <numFmt numFmtId="176" formatCode="#,##0.0000"/>
    <numFmt numFmtId="177" formatCode="[$-409]mmmm/yy;@"/>
    <numFmt numFmtId="178" formatCode="_(* #,##0_);_(* \(#,##0\);_(* &quot;-&quot;_);_(* @_)"/>
    <numFmt numFmtId="179" formatCode="_(* #,##0.00_);_(* \(#,##0.00\);_(* &quot;-&quot;_);_(* 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8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3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6" fontId="3" fillId="0" borderId="2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4" fontId="4" fillId="0" borderId="0" xfId="0" applyNumberFormat="1" applyFont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6" fillId="0" borderId="9" xfId="0" applyFont="1" applyBorder="1" applyAlignment="1" applyProtection="1">
      <alignment wrapText="1"/>
      <protection locked="0"/>
    </xf>
    <xf numFmtId="0" fontId="3" fillId="0" borderId="9" xfId="0" applyFont="1" applyBorder="1" applyAlignment="1">
      <alignment horizontal="right" vertical="top" wrapText="1"/>
    </xf>
    <xf numFmtId="0" fontId="7" fillId="0" borderId="10" xfId="2" applyFont="1" applyBorder="1" applyAlignment="1">
      <alignment horizontal="left" vertical="top"/>
    </xf>
    <xf numFmtId="0" fontId="7" fillId="0" borderId="11" xfId="2" applyFont="1" applyBorder="1" applyAlignment="1">
      <alignment horizontal="left" vertical="top"/>
    </xf>
    <xf numFmtId="168" fontId="7" fillId="0" borderId="11" xfId="3" applyNumberFormat="1" applyFont="1" applyFill="1" applyBorder="1" applyAlignment="1">
      <alignment horizontal="left" vertical="top"/>
    </xf>
    <xf numFmtId="168" fontId="9" fillId="0" borderId="11" xfId="4" applyNumberFormat="1" applyFont="1" applyFill="1" applyBorder="1" applyAlignment="1">
      <alignment horizontal="left" vertical="top"/>
    </xf>
    <xf numFmtId="169" fontId="7" fillId="0" borderId="11" xfId="4" applyFont="1" applyFill="1" applyBorder="1" applyAlignment="1">
      <alignment horizontal="left" vertical="top"/>
    </xf>
    <xf numFmtId="0" fontId="2" fillId="0" borderId="12" xfId="0" applyFont="1" applyBorder="1"/>
    <xf numFmtId="0" fontId="9" fillId="0" borderId="9" xfId="2" applyFont="1" applyBorder="1" applyAlignment="1">
      <alignment horizontal="left" vertical="top"/>
    </xf>
    <xf numFmtId="167" fontId="9" fillId="0" borderId="9" xfId="3" applyFont="1" applyFill="1" applyBorder="1" applyAlignment="1">
      <alignment horizontal="left" vertical="top"/>
    </xf>
    <xf numFmtId="0" fontId="2" fillId="0" borderId="13" xfId="0" applyFont="1" applyBorder="1"/>
    <xf numFmtId="0" fontId="9" fillId="0" borderId="9" xfId="2" applyFont="1" applyBorder="1" applyAlignment="1">
      <alignment horizontal="left" vertical="top" wrapText="1"/>
    </xf>
    <xf numFmtId="0" fontId="9" fillId="0" borderId="14" xfId="2" applyFont="1" applyBorder="1" applyAlignment="1">
      <alignment horizontal="left" vertical="top"/>
    </xf>
    <xf numFmtId="0" fontId="9" fillId="0" borderId="0" xfId="2" applyFont="1" applyAlignment="1">
      <alignment horizontal="left" vertical="top"/>
    </xf>
    <xf numFmtId="170" fontId="9" fillId="0" borderId="0" xfId="2" applyNumberFormat="1" applyFont="1" applyAlignment="1">
      <alignment horizontal="left" vertical="top"/>
    </xf>
    <xf numFmtId="170" fontId="9" fillId="0" borderId="9" xfId="2" applyNumberFormat="1" applyFont="1" applyBorder="1" applyAlignment="1">
      <alignment horizontal="left" vertical="top"/>
    </xf>
    <xf numFmtId="15" fontId="9" fillId="0" borderId="0" xfId="2" applyNumberFormat="1" applyFont="1" applyAlignment="1">
      <alignment horizontal="left" vertical="top"/>
    </xf>
    <xf numFmtId="0" fontId="7" fillId="0" borderId="9" xfId="2" applyFont="1" applyBorder="1" applyAlignment="1">
      <alignment horizontal="left" vertical="top"/>
    </xf>
    <xf numFmtId="171" fontId="9" fillId="0" borderId="9" xfId="2" applyNumberFormat="1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72" fontId="9" fillId="0" borderId="9" xfId="0" applyNumberFormat="1" applyFont="1" applyBorder="1" applyAlignment="1">
      <alignment horizontal="left" vertical="top"/>
    </xf>
    <xf numFmtId="0" fontId="9" fillId="0" borderId="9" xfId="0" applyFont="1" applyBorder="1" applyAlignment="1">
      <alignment horizontal="left" vertical="top" wrapText="1"/>
    </xf>
    <xf numFmtId="173" fontId="9" fillId="0" borderId="9" xfId="0" applyNumberFormat="1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172" fontId="9" fillId="0" borderId="9" xfId="0" quotePrefix="1" applyNumberFormat="1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/>
    </xf>
    <xf numFmtId="164" fontId="9" fillId="0" borderId="0" xfId="2" applyNumberFormat="1" applyFont="1" applyAlignment="1">
      <alignment horizontal="left" vertical="top"/>
    </xf>
    <xf numFmtId="0" fontId="9" fillId="0" borderId="14" xfId="5" applyFont="1" applyBorder="1" applyAlignment="1">
      <alignment horizontal="left" vertical="top"/>
    </xf>
    <xf numFmtId="174" fontId="9" fillId="0" borderId="0" xfId="2" applyNumberFormat="1" applyFont="1" applyAlignment="1">
      <alignment horizontal="left" vertical="top"/>
    </xf>
    <xf numFmtId="0" fontId="9" fillId="0" borderId="14" xfId="2" applyFont="1" applyBorder="1" applyAlignment="1">
      <alignment vertical="top"/>
    </xf>
    <xf numFmtId="169" fontId="9" fillId="0" borderId="9" xfId="4" applyFont="1" applyFill="1" applyBorder="1" applyAlignment="1">
      <alignment horizontal="left" vertical="top"/>
    </xf>
    <xf numFmtId="4" fontId="9" fillId="0" borderId="0" xfId="6" applyNumberFormat="1" applyFont="1" applyFill="1" applyBorder="1" applyAlignment="1">
      <alignment horizontal="left" vertical="top"/>
    </xf>
    <xf numFmtId="169" fontId="9" fillId="0" borderId="0" xfId="4" applyFont="1" applyFill="1" applyBorder="1" applyAlignment="1">
      <alignment horizontal="left" vertical="top"/>
    </xf>
    <xf numFmtId="167" fontId="9" fillId="0" borderId="0" xfId="6" applyNumberFormat="1" applyFont="1" applyFill="1" applyBorder="1" applyAlignment="1">
      <alignment horizontal="left" vertical="top"/>
    </xf>
    <xf numFmtId="167" fontId="9" fillId="0" borderId="9" xfId="2" applyNumberFormat="1" applyFont="1" applyBorder="1" applyAlignment="1">
      <alignment horizontal="left" vertical="top"/>
    </xf>
    <xf numFmtId="167" fontId="9" fillId="0" borderId="9" xfId="5" applyNumberFormat="1" applyFont="1" applyBorder="1"/>
    <xf numFmtId="0" fontId="9" fillId="0" borderId="0" xfId="5" applyFont="1" applyAlignment="1">
      <alignment horizontal="left" vertical="top"/>
    </xf>
    <xf numFmtId="169" fontId="9" fillId="0" borderId="9" xfId="5" applyNumberFormat="1" applyFont="1" applyBorder="1"/>
    <xf numFmtId="175" fontId="9" fillId="0" borderId="0" xfId="2" applyNumberFormat="1" applyFont="1" applyAlignment="1">
      <alignment horizontal="left" vertical="top"/>
    </xf>
    <xf numFmtId="10" fontId="9" fillId="0" borderId="0" xfId="6" applyNumberFormat="1" applyFont="1" applyFill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69" fontId="9" fillId="0" borderId="13" xfId="4" applyFont="1" applyFill="1" applyBorder="1"/>
    <xf numFmtId="175" fontId="9" fillId="0" borderId="0" xfId="2" applyNumberFormat="1" applyFont="1"/>
    <xf numFmtId="0" fontId="7" fillId="0" borderId="14" xfId="5" applyFont="1" applyBorder="1" applyAlignment="1">
      <alignment horizontal="left" vertical="top"/>
    </xf>
    <xf numFmtId="176" fontId="7" fillId="0" borderId="0" xfId="5" applyNumberFormat="1" applyFont="1" applyAlignment="1">
      <alignment horizontal="left" vertical="top"/>
    </xf>
    <xf numFmtId="0" fontId="7" fillId="0" borderId="9" xfId="2" applyFont="1" applyBorder="1" applyAlignment="1">
      <alignment horizontal="left" vertical="top" wrapText="1"/>
    </xf>
    <xf numFmtId="0" fontId="7" fillId="0" borderId="9" xfId="2" applyFont="1" applyBorder="1" applyAlignment="1">
      <alignment vertical="top" wrapText="1"/>
    </xf>
    <xf numFmtId="0" fontId="4" fillId="0" borderId="9" xfId="0" applyFont="1" applyBorder="1" applyAlignment="1">
      <alignment horizontal="left" vertical="top"/>
    </xf>
    <xf numFmtId="177" fontId="9" fillId="0" borderId="9" xfId="2" applyNumberFormat="1" applyFont="1" applyBorder="1" applyAlignment="1">
      <alignment horizontal="left" vertical="top"/>
    </xf>
    <xf numFmtId="0" fontId="9" fillId="0" borderId="9" xfId="5" applyFont="1" applyBorder="1" applyAlignment="1">
      <alignment horizontal="left" vertical="top"/>
    </xf>
    <xf numFmtId="4" fontId="9" fillId="0" borderId="9" xfId="2" applyNumberFormat="1" applyFont="1" applyBorder="1" applyAlignment="1">
      <alignment horizontal="center" vertical="center"/>
    </xf>
    <xf numFmtId="178" fontId="9" fillId="0" borderId="0" xfId="3" applyNumberFormat="1" applyFont="1" applyFill="1" applyBorder="1" applyAlignment="1">
      <alignment horizontal="left" vertical="top"/>
    </xf>
    <xf numFmtId="168" fontId="9" fillId="0" borderId="13" xfId="3" applyNumberFormat="1" applyFont="1" applyFill="1" applyBorder="1"/>
    <xf numFmtId="0" fontId="7" fillId="0" borderId="14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4" fontId="9" fillId="0" borderId="13" xfId="0" applyNumberFormat="1" applyFont="1" applyBorder="1"/>
    <xf numFmtId="169" fontId="2" fillId="0" borderId="0" xfId="4" applyFont="1" applyFill="1" applyBorder="1"/>
    <xf numFmtId="0" fontId="9" fillId="0" borderId="13" xfId="0" applyFont="1" applyBorder="1"/>
    <xf numFmtId="168" fontId="9" fillId="0" borderId="9" xfId="4" applyNumberFormat="1" applyFont="1" applyFill="1" applyBorder="1"/>
    <xf numFmtId="168" fontId="9" fillId="0" borderId="0" xfId="3" applyNumberFormat="1" applyFont="1" applyFill="1" applyBorder="1" applyAlignment="1">
      <alignment horizontal="left" vertical="top"/>
    </xf>
    <xf numFmtId="4" fontId="9" fillId="0" borderId="13" xfId="3" applyNumberFormat="1" applyFont="1" applyFill="1" applyBorder="1"/>
    <xf numFmtId="167" fontId="9" fillId="0" borderId="13" xfId="3" applyFont="1" applyFill="1" applyBorder="1"/>
    <xf numFmtId="0" fontId="9" fillId="0" borderId="14" xfId="0" applyFont="1" applyBorder="1" applyAlignment="1">
      <alignment horizontal="left" vertical="top"/>
    </xf>
    <xf numFmtId="168" fontId="9" fillId="0" borderId="0" xfId="4" applyNumberFormat="1" applyFont="1" applyFill="1" applyBorder="1" applyAlignment="1">
      <alignment horizontal="left" vertical="top"/>
    </xf>
    <xf numFmtId="0" fontId="9" fillId="0" borderId="14" xfId="3" applyNumberFormat="1" applyFont="1" applyFill="1" applyBorder="1" applyAlignment="1">
      <alignment horizontal="left" vertical="top"/>
    </xf>
    <xf numFmtId="0" fontId="9" fillId="0" borderId="0" xfId="3" applyNumberFormat="1" applyFont="1" applyFill="1" applyBorder="1" applyAlignment="1">
      <alignment horizontal="left" vertical="top"/>
    </xf>
    <xf numFmtId="0" fontId="7" fillId="0" borderId="14" xfId="2" applyFont="1" applyBorder="1" applyAlignment="1">
      <alignment horizontal="left" vertical="top"/>
    </xf>
    <xf numFmtId="0" fontId="7" fillId="0" borderId="0" xfId="2" applyFont="1" applyAlignment="1">
      <alignment horizontal="left" vertical="top"/>
    </xf>
    <xf numFmtId="0" fontId="9" fillId="0" borderId="13" xfId="2" applyFont="1" applyBorder="1"/>
    <xf numFmtId="177" fontId="9" fillId="0" borderId="0" xfId="2" applyNumberFormat="1" applyFont="1" applyAlignment="1">
      <alignment horizontal="left" vertical="top"/>
    </xf>
    <xf numFmtId="4" fontId="9" fillId="0" borderId="13" xfId="2" applyNumberFormat="1" applyFont="1" applyBorder="1" applyAlignment="1">
      <alignment horizontal="center" vertical="center" wrapText="1"/>
    </xf>
    <xf numFmtId="4" fontId="9" fillId="0" borderId="0" xfId="2" applyNumberFormat="1" applyFont="1" applyAlignment="1">
      <alignment horizontal="left" vertical="top"/>
    </xf>
    <xf numFmtId="4" fontId="9" fillId="0" borderId="13" xfId="2" applyNumberFormat="1" applyFont="1" applyBorder="1"/>
    <xf numFmtId="179" fontId="9" fillId="0" borderId="0" xfId="2" applyNumberFormat="1" applyFont="1" applyAlignment="1">
      <alignment horizontal="left" vertical="top"/>
    </xf>
    <xf numFmtId="168" fontId="9" fillId="0" borderId="9" xfId="4" applyNumberFormat="1" applyFont="1" applyFill="1" applyBorder="1" applyAlignment="1">
      <alignment horizontal="left" vertical="top"/>
    </xf>
    <xf numFmtId="0" fontId="7" fillId="0" borderId="15" xfId="2" applyFont="1" applyBorder="1" applyAlignment="1">
      <alignment horizontal="left" vertical="top"/>
    </xf>
    <xf numFmtId="0" fontId="9" fillId="0" borderId="16" xfId="2" applyFont="1" applyBorder="1" applyAlignment="1">
      <alignment horizontal="left" vertical="top"/>
    </xf>
    <xf numFmtId="0" fontId="9" fillId="0" borderId="17" xfId="2" applyFont="1" applyBorder="1"/>
    <xf numFmtId="0" fontId="7" fillId="0" borderId="9" xfId="0" applyFont="1" applyBorder="1" applyAlignment="1">
      <alignment wrapText="1"/>
    </xf>
    <xf numFmtId="0" fontId="7" fillId="0" borderId="9" xfId="0" applyFont="1" applyBorder="1"/>
    <xf numFmtId="0" fontId="9" fillId="0" borderId="9" xfId="0" applyFont="1" applyBorder="1"/>
    <xf numFmtId="176" fontId="9" fillId="0" borderId="9" xfId="0" applyNumberFormat="1" applyFont="1" applyBorder="1"/>
    <xf numFmtId="171" fontId="9" fillId="0" borderId="9" xfId="0" applyNumberFormat="1" applyFont="1" applyBorder="1"/>
    <xf numFmtId="10" fontId="9" fillId="0" borderId="9" xfId="1" applyNumberFormat="1" applyFont="1" applyFill="1" applyBorder="1"/>
    <xf numFmtId="0" fontId="9" fillId="0" borderId="0" xfId="0" applyFont="1"/>
    <xf numFmtId="10" fontId="9" fillId="0" borderId="0" xfId="6" applyNumberFormat="1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wrapText="1"/>
    </xf>
  </cellXfs>
  <cellStyles count="7">
    <cellStyle name="Comma 2" xfId="3" xr:uid="{BCBDCE37-78FD-43F7-9629-1C4A16048818}"/>
    <cellStyle name="Comma 3" xfId="4" xr:uid="{25CA005D-2519-4FF5-ACF6-63F49DA0CB5E}"/>
    <cellStyle name="Normal" xfId="0" builtinId="0"/>
    <cellStyle name="Normal 2" xfId="2" xr:uid="{B8FE62C5-5A27-45FF-A3DC-E19111295C20}"/>
    <cellStyle name="Normal 2 2" xfId="5" xr:uid="{33423217-9C72-46AD-A8FD-8B9E2C13B433}"/>
    <cellStyle name="Percent" xfId="1" builtinId="5"/>
    <cellStyle name="Percent 2" xfId="6" xr:uid="{205BF161-6AA2-40FF-9BD7-921CEEDBCD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480060</xdr:colOff>
      <xdr:row>265</xdr:row>
      <xdr:rowOff>93344</xdr:rowOff>
    </xdr:from>
    <xdr:to>
      <xdr:col>1</xdr:col>
      <xdr:colOff>3152775</xdr:colOff>
      <xdr:row>275</xdr:row>
      <xdr:rowOff>47329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9EBA1D-EFCC-4BD9-A778-4531D8184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" y="43136819"/>
          <a:ext cx="2672715" cy="1477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3558541</xdr:colOff>
      <xdr:row>265</xdr:row>
      <xdr:rowOff>38100</xdr:rowOff>
    </xdr:from>
    <xdr:to>
      <xdr:col>3</xdr:col>
      <xdr:colOff>1368746</xdr:colOff>
      <xdr:row>275</xdr:row>
      <xdr:rowOff>137160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BB78772-F3CC-4906-87DE-EF6A5DAC0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6641" y="43081575"/>
          <a:ext cx="2753680" cy="1623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MC\RAJU_from%2020032020\Fact%20Sheet\2026-27\June%202026\Fortnightly\30%20June%202026\Final\FORTNIGHTLY_PORTFOLIO_JUNE26.xls" TargetMode="External"/><Relationship Id="rId1" Type="http://schemas.openxmlformats.org/officeDocument/2006/relationships/externalLinkPath" Target="FORTNIGHTLY_PORTFOLIO_JUNE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LF"/>
      <sheetName val="PPCHF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9065-4A51-4B7D-9EF1-E3DB0DE54B85}">
  <sheetPr>
    <outlinePr summaryBelow="0"/>
  </sheetPr>
  <dimension ref="A1:J274"/>
  <sheetViews>
    <sheetView tabSelected="1" workbookViewId="0">
      <selection activeCell="D22" sqref="D22"/>
    </sheetView>
  </sheetViews>
  <sheetFormatPr defaultColWidth="8.85546875" defaultRowHeight="12" x14ac:dyDescent="0.2"/>
  <cols>
    <col min="1" max="1" width="3.28515625" style="3" customWidth="1"/>
    <col min="2" max="2" width="50.7109375" style="3" customWidth="1"/>
    <col min="3" max="3" width="20.7109375" style="3" customWidth="1"/>
    <col min="4" max="4" width="23.42578125" style="3" customWidth="1"/>
    <col min="5" max="5" width="16.7109375" style="3" customWidth="1"/>
    <col min="6" max="6" width="16.5703125" style="3" customWidth="1"/>
    <col min="7" max="7" width="12.85546875" style="3" customWidth="1"/>
    <col min="8" max="8" width="9.7109375" style="3" customWidth="1"/>
    <col min="9" max="9" width="10.42578125" style="3" customWidth="1"/>
    <col min="10" max="10" width="10.7109375" style="3" customWidth="1"/>
    <col min="11" max="16384" width="8.85546875" style="3"/>
  </cols>
  <sheetData>
    <row r="1" spans="1:10" ht="16.149999999999999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1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1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1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15" customHeight="1" x14ac:dyDescent="0.2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15" customHeight="1" x14ac:dyDescent="0.2">
      <c r="A6" s="1"/>
      <c r="B6" s="11" t="s">
        <v>13</v>
      </c>
      <c r="C6" s="12"/>
      <c r="D6" s="12"/>
      <c r="E6" s="12"/>
      <c r="F6" s="1"/>
      <c r="G6" s="13"/>
      <c r="H6" s="13"/>
      <c r="I6" s="13"/>
      <c r="J6" s="1"/>
    </row>
    <row r="7" spans="1:10" ht="13.15" customHeight="1" x14ac:dyDescent="0.2">
      <c r="A7" s="14" t="s">
        <v>14</v>
      </c>
      <c r="B7" s="15" t="s">
        <v>15</v>
      </c>
      <c r="C7" s="12" t="s">
        <v>16</v>
      </c>
      <c r="D7" s="12" t="s">
        <v>17</v>
      </c>
      <c r="E7" s="16">
        <v>1684330</v>
      </c>
      <c r="F7" s="17">
        <v>7395.05</v>
      </c>
      <c r="G7" s="18">
        <v>2.1600000000000001E-2</v>
      </c>
      <c r="H7" s="13"/>
      <c r="I7" s="13"/>
      <c r="J7" s="1"/>
    </row>
    <row r="8" spans="1:10" ht="13.15" customHeight="1" x14ac:dyDescent="0.2">
      <c r="A8" s="14" t="s">
        <v>18</v>
      </c>
      <c r="B8" s="15" t="s">
        <v>19</v>
      </c>
      <c r="C8" s="12" t="s">
        <v>20</v>
      </c>
      <c r="D8" s="12" t="s">
        <v>21</v>
      </c>
      <c r="E8" s="16">
        <v>2389921</v>
      </c>
      <c r="F8" s="17">
        <v>6842.34</v>
      </c>
      <c r="G8" s="18">
        <v>0.02</v>
      </c>
      <c r="H8" s="13"/>
      <c r="I8" s="13"/>
      <c r="J8" s="1"/>
    </row>
    <row r="9" spans="1:10" ht="13.15" customHeight="1" x14ac:dyDescent="0.2">
      <c r="A9" s="14" t="s">
        <v>22</v>
      </c>
      <c r="B9" s="15" t="s">
        <v>23</v>
      </c>
      <c r="C9" s="12" t="s">
        <v>24</v>
      </c>
      <c r="D9" s="12" t="s">
        <v>25</v>
      </c>
      <c r="E9" s="16">
        <v>2347848</v>
      </c>
      <c r="F9" s="17">
        <v>6592.76</v>
      </c>
      <c r="G9" s="18">
        <v>1.9300000000000001E-2</v>
      </c>
      <c r="H9" s="13"/>
      <c r="I9" s="13"/>
      <c r="J9" s="1"/>
    </row>
    <row r="10" spans="1:10" ht="13.15" customHeight="1" x14ac:dyDescent="0.2">
      <c r="A10" s="14" t="s">
        <v>26</v>
      </c>
      <c r="B10" s="15" t="s">
        <v>27</v>
      </c>
      <c r="C10" s="12" t="s">
        <v>28</v>
      </c>
      <c r="D10" s="12" t="s">
        <v>29</v>
      </c>
      <c r="E10" s="16">
        <v>2231241</v>
      </c>
      <c r="F10" s="17">
        <v>6402.55</v>
      </c>
      <c r="G10" s="18">
        <v>1.8700000000000001E-2</v>
      </c>
      <c r="H10" s="13"/>
      <c r="I10" s="13"/>
      <c r="J10" s="1"/>
    </row>
    <row r="11" spans="1:10" ht="13.15" customHeight="1" x14ac:dyDescent="0.2">
      <c r="A11" s="14" t="s">
        <v>30</v>
      </c>
      <c r="B11" s="15" t="s">
        <v>31</v>
      </c>
      <c r="C11" s="12" t="s">
        <v>32</v>
      </c>
      <c r="D11" s="12" t="s">
        <v>33</v>
      </c>
      <c r="E11" s="16">
        <v>939396</v>
      </c>
      <c r="F11" s="17">
        <v>3417.52</v>
      </c>
      <c r="G11" s="18">
        <v>0.01</v>
      </c>
      <c r="H11" s="13"/>
      <c r="I11" s="13"/>
      <c r="J11" s="1"/>
    </row>
    <row r="12" spans="1:10" ht="13.15" customHeight="1" x14ac:dyDescent="0.2">
      <c r="A12" s="14" t="s">
        <v>34</v>
      </c>
      <c r="B12" s="15" t="s">
        <v>35</v>
      </c>
      <c r="C12" s="12" t="s">
        <v>36</v>
      </c>
      <c r="D12" s="12" t="s">
        <v>37</v>
      </c>
      <c r="E12" s="16">
        <v>62212</v>
      </c>
      <c r="F12" s="17">
        <v>2486.9899999999998</v>
      </c>
      <c r="G12" s="18">
        <v>7.3000000000000001E-3</v>
      </c>
      <c r="H12" s="13"/>
      <c r="I12" s="13"/>
      <c r="J12" s="1"/>
    </row>
    <row r="13" spans="1:10" ht="13.15" customHeight="1" x14ac:dyDescent="0.2">
      <c r="A13" s="14" t="s">
        <v>38</v>
      </c>
      <c r="B13" s="15" t="s">
        <v>39</v>
      </c>
      <c r="C13" s="12" t="s">
        <v>40</v>
      </c>
      <c r="D13" s="12" t="s">
        <v>41</v>
      </c>
      <c r="E13" s="16">
        <v>60870</v>
      </c>
      <c r="F13" s="17">
        <v>238.43</v>
      </c>
      <c r="G13" s="18">
        <v>6.9999999999999999E-4</v>
      </c>
      <c r="H13" s="13"/>
      <c r="I13" s="13"/>
      <c r="J13" s="1"/>
    </row>
    <row r="14" spans="1:10" ht="13.15" customHeight="1" x14ac:dyDescent="0.2">
      <c r="A14" s="1"/>
      <c r="B14" s="19" t="s">
        <v>42</v>
      </c>
      <c r="C14" s="20"/>
      <c r="D14" s="20"/>
      <c r="E14" s="20"/>
      <c r="F14" s="21">
        <f>SUM(F7:F13)</f>
        <v>33375.64</v>
      </c>
      <c r="G14" s="22">
        <f>+SUM(G7:G13)</f>
        <v>9.7600000000000006E-2</v>
      </c>
      <c r="H14" s="23"/>
      <c r="I14" s="23"/>
      <c r="J14" s="1"/>
    </row>
    <row r="15" spans="1:10" ht="13.15" customHeight="1" x14ac:dyDescent="0.2">
      <c r="A15" s="1"/>
      <c r="B15" s="11" t="s">
        <v>43</v>
      </c>
      <c r="C15" s="12"/>
      <c r="D15" s="12"/>
      <c r="E15" s="12"/>
      <c r="F15" s="1"/>
      <c r="G15" s="13"/>
      <c r="H15" s="13"/>
      <c r="I15" s="13"/>
      <c r="J15" s="1"/>
    </row>
    <row r="16" spans="1:10" ht="13.15" customHeight="1" x14ac:dyDescent="0.2">
      <c r="A16" s="14" t="s">
        <v>44</v>
      </c>
      <c r="B16" s="15" t="s">
        <v>45</v>
      </c>
      <c r="C16" s="12" t="s">
        <v>46</v>
      </c>
      <c r="D16" s="12" t="s">
        <v>47</v>
      </c>
      <c r="E16" s="16">
        <v>115425</v>
      </c>
      <c r="F16" s="17">
        <v>1691.78</v>
      </c>
      <c r="G16" s="18">
        <v>4.8999999999999998E-3</v>
      </c>
      <c r="H16" s="13"/>
      <c r="I16" s="13"/>
      <c r="J16" s="1"/>
    </row>
    <row r="17" spans="1:10" ht="13.15" customHeight="1" x14ac:dyDescent="0.2">
      <c r="A17" s="14" t="s">
        <v>48</v>
      </c>
      <c r="B17" s="15" t="s">
        <v>49</v>
      </c>
      <c r="C17" s="12" t="s">
        <v>50</v>
      </c>
      <c r="D17" s="12" t="s">
        <v>33</v>
      </c>
      <c r="E17" s="16">
        <v>165750</v>
      </c>
      <c r="F17" s="17">
        <v>1665.37</v>
      </c>
      <c r="G17" s="18">
        <v>4.8999999999999998E-3</v>
      </c>
      <c r="H17" s="13"/>
      <c r="I17" s="13"/>
      <c r="J17" s="1"/>
    </row>
    <row r="18" spans="1:10" ht="13.15" customHeight="1" x14ac:dyDescent="0.2">
      <c r="A18" s="14" t="s">
        <v>51</v>
      </c>
      <c r="B18" s="15" t="s">
        <v>52</v>
      </c>
      <c r="C18" s="12" t="s">
        <v>53</v>
      </c>
      <c r="D18" s="12" t="s">
        <v>41</v>
      </c>
      <c r="E18" s="16">
        <v>45600</v>
      </c>
      <c r="F18" s="17">
        <v>844.51</v>
      </c>
      <c r="G18" s="18">
        <v>2.5000000000000001E-3</v>
      </c>
      <c r="H18" s="13"/>
      <c r="I18" s="13"/>
      <c r="J18" s="1"/>
    </row>
    <row r="19" spans="1:10" ht="13.15" customHeight="1" x14ac:dyDescent="0.2">
      <c r="A19" s="14" t="s">
        <v>54</v>
      </c>
      <c r="B19" s="15" t="s">
        <v>55</v>
      </c>
      <c r="C19" s="12" t="s">
        <v>56</v>
      </c>
      <c r="D19" s="12" t="s">
        <v>57</v>
      </c>
      <c r="E19" s="16">
        <v>45600</v>
      </c>
      <c r="F19" s="17">
        <v>192.36</v>
      </c>
      <c r="G19" s="18">
        <v>5.9999999999999995E-4</v>
      </c>
      <c r="H19" s="13"/>
      <c r="I19" s="13"/>
      <c r="J19" s="1"/>
    </row>
    <row r="20" spans="1:10" ht="13.15" customHeight="1" x14ac:dyDescent="0.2">
      <c r="A20" s="14" t="s">
        <v>58</v>
      </c>
      <c r="B20" s="15" t="s">
        <v>59</v>
      </c>
      <c r="C20" s="12" t="s">
        <v>60</v>
      </c>
      <c r="D20" s="12" t="s">
        <v>61</v>
      </c>
      <c r="E20" s="16">
        <v>1050</v>
      </c>
      <c r="F20" s="17">
        <v>46</v>
      </c>
      <c r="G20" s="18">
        <v>1E-4</v>
      </c>
      <c r="H20" s="13"/>
      <c r="I20" s="13"/>
      <c r="J20" s="1"/>
    </row>
    <row r="21" spans="1:10" ht="13.15" customHeight="1" x14ac:dyDescent="0.2">
      <c r="A21" s="14"/>
      <c r="B21" s="11" t="s">
        <v>62</v>
      </c>
      <c r="C21" s="12"/>
      <c r="D21" s="12"/>
      <c r="E21" s="16"/>
      <c r="F21" s="17"/>
      <c r="G21" s="18"/>
      <c r="H21" s="13"/>
      <c r="I21" s="13"/>
      <c r="J21" s="1"/>
    </row>
    <row r="22" spans="1:10" ht="13.15" customHeight="1" x14ac:dyDescent="0.2">
      <c r="A22" s="14" t="s">
        <v>63</v>
      </c>
      <c r="B22" s="15" t="s">
        <v>64</v>
      </c>
      <c r="C22" s="12" t="s">
        <v>65</v>
      </c>
      <c r="D22" s="12" t="s">
        <v>66</v>
      </c>
      <c r="E22" s="16">
        <v>25735</v>
      </c>
      <c r="F22" s="17">
        <v>590.85</v>
      </c>
      <c r="G22" s="18">
        <v>1.6999999999999999E-3</v>
      </c>
      <c r="H22" s="13"/>
      <c r="I22" s="13"/>
      <c r="J22" s="1"/>
    </row>
    <row r="23" spans="1:10" ht="13.15" customHeight="1" x14ac:dyDescent="0.2">
      <c r="A23" s="1"/>
      <c r="B23" s="19" t="s">
        <v>42</v>
      </c>
      <c r="C23" s="20"/>
      <c r="D23" s="20"/>
      <c r="E23" s="20"/>
      <c r="F23" s="21">
        <f>+SUM(F16:F22)</f>
        <v>5030.87</v>
      </c>
      <c r="G23" s="22">
        <f>+SUM(G16:G22)</f>
        <v>1.47E-2</v>
      </c>
      <c r="H23" s="23"/>
      <c r="I23" s="23"/>
      <c r="J23" s="1"/>
    </row>
    <row r="24" spans="1:10" ht="13.15" customHeight="1" x14ac:dyDescent="0.2">
      <c r="A24" s="1"/>
      <c r="B24" s="11" t="s">
        <v>67</v>
      </c>
      <c r="C24" s="12"/>
      <c r="D24" s="12"/>
      <c r="E24" s="12"/>
      <c r="F24" s="1"/>
      <c r="G24" s="13"/>
      <c r="H24" s="13"/>
      <c r="I24" s="13"/>
      <c r="J24" s="1"/>
    </row>
    <row r="25" spans="1:10" ht="13.15" customHeight="1" x14ac:dyDescent="0.2">
      <c r="A25" s="14" t="s">
        <v>68</v>
      </c>
      <c r="B25" s="15" t="s">
        <v>69</v>
      </c>
      <c r="C25" s="12" t="s">
        <v>70</v>
      </c>
      <c r="D25" s="12" t="s">
        <v>71</v>
      </c>
      <c r="E25" s="16">
        <v>3979328</v>
      </c>
      <c r="F25" s="17">
        <v>17431.05</v>
      </c>
      <c r="G25" s="18">
        <v>5.0999999999999997E-2</v>
      </c>
      <c r="H25" s="13"/>
      <c r="I25" s="13"/>
      <c r="J25" s="1"/>
    </row>
    <row r="26" spans="1:10" ht="13.15" customHeight="1" x14ac:dyDescent="0.2">
      <c r="A26" s="14" t="s">
        <v>72</v>
      </c>
      <c r="B26" s="15" t="s">
        <v>73</v>
      </c>
      <c r="C26" s="12" t="s">
        <v>74</v>
      </c>
      <c r="D26" s="12" t="s">
        <v>71</v>
      </c>
      <c r="E26" s="16">
        <v>5200248</v>
      </c>
      <c r="F26" s="17">
        <v>17214.900000000001</v>
      </c>
      <c r="G26" s="18">
        <v>5.04E-2</v>
      </c>
      <c r="H26" s="13"/>
      <c r="I26" s="13"/>
      <c r="J26" s="1"/>
    </row>
    <row r="27" spans="1:10" ht="13.15" customHeight="1" x14ac:dyDescent="0.2">
      <c r="A27" s="14" t="s">
        <v>75</v>
      </c>
      <c r="B27" s="15" t="s">
        <v>76</v>
      </c>
      <c r="C27" s="12" t="s">
        <v>77</v>
      </c>
      <c r="D27" s="12" t="s">
        <v>71</v>
      </c>
      <c r="E27" s="16">
        <v>493139</v>
      </c>
      <c r="F27" s="17">
        <v>2334.4699999999998</v>
      </c>
      <c r="G27" s="18">
        <v>6.7999999999999996E-3</v>
      </c>
      <c r="H27" s="13"/>
      <c r="I27" s="13"/>
      <c r="J27" s="1"/>
    </row>
    <row r="28" spans="1:10" ht="13.15" customHeight="1" x14ac:dyDescent="0.2">
      <c r="A28" s="1"/>
      <c r="B28" s="19" t="s">
        <v>42</v>
      </c>
      <c r="C28" s="20"/>
      <c r="D28" s="20"/>
      <c r="E28" s="20"/>
      <c r="F28" s="21">
        <v>36980.42</v>
      </c>
      <c r="G28" s="22">
        <v>0.1082</v>
      </c>
      <c r="H28" s="23"/>
      <c r="I28" s="23"/>
      <c r="J28" s="1"/>
    </row>
    <row r="29" spans="1:10" ht="13.15" customHeight="1" x14ac:dyDescent="0.2">
      <c r="A29" s="1"/>
      <c r="B29" s="19" t="s">
        <v>78</v>
      </c>
      <c r="C29" s="20"/>
      <c r="D29" s="20"/>
      <c r="E29" s="20"/>
      <c r="F29" s="23" t="s">
        <v>79</v>
      </c>
      <c r="G29" s="23" t="s">
        <v>79</v>
      </c>
      <c r="H29" s="23"/>
      <c r="I29" s="23"/>
      <c r="J29" s="1"/>
    </row>
    <row r="30" spans="1:10" ht="13.15" customHeight="1" x14ac:dyDescent="0.2">
      <c r="A30" s="1"/>
      <c r="B30" s="19" t="s">
        <v>42</v>
      </c>
      <c r="C30" s="20"/>
      <c r="D30" s="20"/>
      <c r="E30" s="20"/>
      <c r="F30" s="23" t="s">
        <v>79</v>
      </c>
      <c r="G30" s="23" t="s">
        <v>79</v>
      </c>
      <c r="H30" s="23"/>
      <c r="I30" s="23"/>
      <c r="J30" s="1"/>
    </row>
    <row r="31" spans="1:10" ht="13.15" customHeight="1" x14ac:dyDescent="0.2">
      <c r="A31" s="1"/>
      <c r="B31" s="19" t="s">
        <v>80</v>
      </c>
      <c r="C31" s="24"/>
      <c r="D31" s="20"/>
      <c r="E31" s="24"/>
      <c r="F31" s="21">
        <v>75386.929999999993</v>
      </c>
      <c r="G31" s="22">
        <v>0.2205</v>
      </c>
      <c r="H31" s="23"/>
      <c r="I31" s="23"/>
      <c r="J31" s="1"/>
    </row>
    <row r="32" spans="1:10" ht="13.15" customHeight="1" x14ac:dyDescent="0.2">
      <c r="A32" s="1"/>
      <c r="B32" s="11" t="s">
        <v>81</v>
      </c>
      <c r="C32" s="12"/>
      <c r="D32" s="12"/>
      <c r="E32" s="12"/>
      <c r="F32" s="12"/>
      <c r="G32" s="12"/>
      <c r="H32" s="13"/>
      <c r="I32" s="13"/>
      <c r="J32" s="1"/>
    </row>
    <row r="33" spans="1:10" ht="13.15" customHeight="1" x14ac:dyDescent="0.2">
      <c r="A33" s="1"/>
      <c r="B33" s="11" t="s">
        <v>82</v>
      </c>
      <c r="C33" s="12"/>
      <c r="D33" s="12"/>
      <c r="E33" s="12"/>
      <c r="F33" s="1"/>
      <c r="G33" s="13"/>
      <c r="H33" s="13"/>
      <c r="I33" s="13"/>
      <c r="J33" s="1"/>
    </row>
    <row r="34" spans="1:10" ht="13.15" customHeight="1" x14ac:dyDescent="0.2">
      <c r="A34" s="14" t="s">
        <v>83</v>
      </c>
      <c r="B34" s="15" t="s">
        <v>84</v>
      </c>
      <c r="C34" s="12" t="s">
        <v>85</v>
      </c>
      <c r="D34" s="12" t="s">
        <v>86</v>
      </c>
      <c r="E34" s="16">
        <v>15000000</v>
      </c>
      <c r="F34" s="17">
        <v>15000.83</v>
      </c>
      <c r="G34" s="18">
        <v>4.3900000000000002E-2</v>
      </c>
      <c r="H34" s="25">
        <v>7.2007000000000002E-2</v>
      </c>
      <c r="I34" s="13"/>
      <c r="J34" s="1"/>
    </row>
    <row r="35" spans="1:10" ht="13.15" customHeight="1" x14ac:dyDescent="0.2">
      <c r="A35" s="14" t="s">
        <v>87</v>
      </c>
      <c r="B35" s="15" t="s">
        <v>88</v>
      </c>
      <c r="C35" s="12" t="s">
        <v>89</v>
      </c>
      <c r="D35" s="12" t="s">
        <v>86</v>
      </c>
      <c r="E35" s="16">
        <v>14000000</v>
      </c>
      <c r="F35" s="17">
        <v>14019.22</v>
      </c>
      <c r="G35" s="18">
        <v>4.1000000000000002E-2</v>
      </c>
      <c r="H35" s="25">
        <v>7.1691000000000005E-2</v>
      </c>
      <c r="I35" s="13"/>
      <c r="J35" s="1"/>
    </row>
    <row r="36" spans="1:10" ht="13.15" customHeight="1" x14ac:dyDescent="0.2">
      <c r="A36" s="14" t="s">
        <v>90</v>
      </c>
      <c r="B36" s="15" t="s">
        <v>91</v>
      </c>
      <c r="C36" s="12" t="s">
        <v>92</v>
      </c>
      <c r="D36" s="12" t="s">
        <v>86</v>
      </c>
      <c r="E36" s="16">
        <v>12500000</v>
      </c>
      <c r="F36" s="17">
        <v>12848.79</v>
      </c>
      <c r="G36" s="18">
        <v>3.7600000000000001E-2</v>
      </c>
      <c r="H36" s="25">
        <v>7.1276999999999993E-2</v>
      </c>
      <c r="I36" s="13"/>
      <c r="J36" s="1"/>
    </row>
    <row r="37" spans="1:10" ht="13.15" customHeight="1" x14ac:dyDescent="0.2">
      <c r="A37" s="14" t="s">
        <v>93</v>
      </c>
      <c r="B37" s="15" t="s">
        <v>94</v>
      </c>
      <c r="C37" s="12" t="s">
        <v>95</v>
      </c>
      <c r="D37" s="12" t="s">
        <v>86</v>
      </c>
      <c r="E37" s="16">
        <v>9500000</v>
      </c>
      <c r="F37" s="17">
        <v>9519.16</v>
      </c>
      <c r="G37" s="18">
        <v>2.7799999999999998E-2</v>
      </c>
      <c r="H37" s="25">
        <v>7.4790999999999996E-2</v>
      </c>
      <c r="I37" s="13"/>
      <c r="J37" s="1"/>
    </row>
    <row r="38" spans="1:10" ht="13.15" customHeight="1" x14ac:dyDescent="0.2">
      <c r="A38" s="14" t="s">
        <v>96</v>
      </c>
      <c r="B38" s="15" t="s">
        <v>97</v>
      </c>
      <c r="C38" s="12" t="s">
        <v>98</v>
      </c>
      <c r="D38" s="12" t="s">
        <v>86</v>
      </c>
      <c r="E38" s="16">
        <v>8500000</v>
      </c>
      <c r="F38" s="17">
        <v>8778.0400000000009</v>
      </c>
      <c r="G38" s="18">
        <v>2.5700000000000001E-2</v>
      </c>
      <c r="H38" s="25">
        <v>7.2928000000000007E-2</v>
      </c>
      <c r="I38" s="13"/>
      <c r="J38" s="1"/>
    </row>
    <row r="39" spans="1:10" ht="13.15" customHeight="1" x14ac:dyDescent="0.2">
      <c r="A39" s="14" t="s">
        <v>99</v>
      </c>
      <c r="B39" s="15" t="s">
        <v>100</v>
      </c>
      <c r="C39" s="12" t="s">
        <v>101</v>
      </c>
      <c r="D39" s="12" t="s">
        <v>86</v>
      </c>
      <c r="E39" s="16">
        <v>7500000</v>
      </c>
      <c r="F39" s="17">
        <v>7740.62</v>
      </c>
      <c r="G39" s="18">
        <v>2.2599999999999999E-2</v>
      </c>
      <c r="H39" s="25">
        <v>7.0542999999999995E-2</v>
      </c>
      <c r="I39" s="13"/>
      <c r="J39" s="1"/>
    </row>
    <row r="40" spans="1:10" ht="13.15" customHeight="1" x14ac:dyDescent="0.2">
      <c r="A40" s="14" t="s">
        <v>102</v>
      </c>
      <c r="B40" s="15" t="s">
        <v>103</v>
      </c>
      <c r="C40" s="12" t="s">
        <v>104</v>
      </c>
      <c r="D40" s="12" t="s">
        <v>86</v>
      </c>
      <c r="E40" s="16">
        <v>7500000</v>
      </c>
      <c r="F40" s="17">
        <v>7733.3</v>
      </c>
      <c r="G40" s="18">
        <v>2.2599999999999999E-2</v>
      </c>
      <c r="H40" s="25">
        <v>7.0190000000000002E-2</v>
      </c>
      <c r="I40" s="13"/>
      <c r="J40" s="1"/>
    </row>
    <row r="41" spans="1:10" ht="13.15" customHeight="1" x14ac:dyDescent="0.2">
      <c r="A41" s="14" t="s">
        <v>105</v>
      </c>
      <c r="B41" s="15" t="s">
        <v>106</v>
      </c>
      <c r="C41" s="12" t="s">
        <v>107</v>
      </c>
      <c r="D41" s="12" t="s">
        <v>86</v>
      </c>
      <c r="E41" s="16">
        <v>7500000</v>
      </c>
      <c r="F41" s="17">
        <v>7663.98</v>
      </c>
      <c r="G41" s="18">
        <v>2.24E-2</v>
      </c>
      <c r="H41" s="25">
        <v>7.1849999999999997E-2</v>
      </c>
      <c r="I41" s="13"/>
      <c r="J41" s="1"/>
    </row>
    <row r="42" spans="1:10" ht="13.15" customHeight="1" x14ac:dyDescent="0.2">
      <c r="A42" s="14" t="s">
        <v>108</v>
      </c>
      <c r="B42" s="15" t="s">
        <v>109</v>
      </c>
      <c r="C42" s="12" t="s">
        <v>110</v>
      </c>
      <c r="D42" s="12" t="s">
        <v>111</v>
      </c>
      <c r="E42" s="16">
        <v>7500</v>
      </c>
      <c r="F42" s="17">
        <v>7553</v>
      </c>
      <c r="G42" s="18">
        <v>2.2100000000000002E-2</v>
      </c>
      <c r="H42" s="25">
        <v>7.2099999999999997E-2</v>
      </c>
      <c r="I42" s="13"/>
      <c r="J42" s="1"/>
    </row>
    <row r="43" spans="1:10" ht="13.15" customHeight="1" x14ac:dyDescent="0.2">
      <c r="A43" s="14" t="s">
        <v>112</v>
      </c>
      <c r="B43" s="15" t="s">
        <v>113</v>
      </c>
      <c r="C43" s="12" t="s">
        <v>114</v>
      </c>
      <c r="D43" s="12" t="s">
        <v>111</v>
      </c>
      <c r="E43" s="16">
        <v>7500</v>
      </c>
      <c r="F43" s="17">
        <v>7522.07</v>
      </c>
      <c r="G43" s="18">
        <v>2.1999999999999999E-2</v>
      </c>
      <c r="H43" s="25">
        <v>7.5850000000000001E-2</v>
      </c>
      <c r="I43" s="13"/>
      <c r="J43" s="1"/>
    </row>
    <row r="44" spans="1:10" ht="13.15" customHeight="1" x14ac:dyDescent="0.2">
      <c r="A44" s="14" t="s">
        <v>115</v>
      </c>
      <c r="B44" s="15" t="s">
        <v>116</v>
      </c>
      <c r="C44" s="12" t="s">
        <v>117</v>
      </c>
      <c r="D44" s="12" t="s">
        <v>86</v>
      </c>
      <c r="E44" s="16">
        <v>5500000</v>
      </c>
      <c r="F44" s="17">
        <v>5449</v>
      </c>
      <c r="G44" s="18">
        <v>1.5900000000000001E-2</v>
      </c>
      <c r="H44" s="25">
        <v>7.1272000000000002E-2</v>
      </c>
      <c r="I44" s="13"/>
      <c r="J44" s="1"/>
    </row>
    <row r="45" spans="1:10" ht="13.15" customHeight="1" x14ac:dyDescent="0.2">
      <c r="A45" s="14" t="s">
        <v>118</v>
      </c>
      <c r="B45" s="15" t="s">
        <v>119</v>
      </c>
      <c r="C45" s="12" t="s">
        <v>120</v>
      </c>
      <c r="D45" s="12" t="s">
        <v>86</v>
      </c>
      <c r="E45" s="16">
        <v>5000000</v>
      </c>
      <c r="F45" s="17">
        <v>5107.91</v>
      </c>
      <c r="G45" s="18">
        <v>1.49E-2</v>
      </c>
      <c r="H45" s="25">
        <v>7.2928000000000007E-2</v>
      </c>
      <c r="I45" s="13"/>
      <c r="J45" s="1"/>
    </row>
    <row r="46" spans="1:10" ht="13.15" customHeight="1" x14ac:dyDescent="0.2">
      <c r="A46" s="14" t="s">
        <v>121</v>
      </c>
      <c r="B46" s="15" t="s">
        <v>122</v>
      </c>
      <c r="C46" s="12" t="s">
        <v>123</v>
      </c>
      <c r="D46" s="12" t="s">
        <v>86</v>
      </c>
      <c r="E46" s="16">
        <v>5000000</v>
      </c>
      <c r="F46" s="17">
        <v>5064.18</v>
      </c>
      <c r="G46" s="18">
        <v>1.4800000000000001E-2</v>
      </c>
      <c r="H46" s="25">
        <v>7.1375999999999995E-2</v>
      </c>
      <c r="I46" s="13"/>
      <c r="J46" s="1"/>
    </row>
    <row r="47" spans="1:10" ht="13.15" customHeight="1" x14ac:dyDescent="0.2">
      <c r="A47" s="14" t="s">
        <v>124</v>
      </c>
      <c r="B47" s="15" t="s">
        <v>125</v>
      </c>
      <c r="C47" s="12" t="s">
        <v>126</v>
      </c>
      <c r="D47" s="12" t="s">
        <v>127</v>
      </c>
      <c r="E47" s="16">
        <v>5000</v>
      </c>
      <c r="F47" s="17">
        <v>5061.62</v>
      </c>
      <c r="G47" s="18">
        <v>1.4800000000000001E-2</v>
      </c>
      <c r="H47" s="25">
        <v>7.1999999999999995E-2</v>
      </c>
      <c r="I47" s="13"/>
      <c r="J47" s="1"/>
    </row>
    <row r="48" spans="1:10" ht="13.15" customHeight="1" x14ac:dyDescent="0.2">
      <c r="A48" s="14" t="s">
        <v>128</v>
      </c>
      <c r="B48" s="15" t="s">
        <v>129</v>
      </c>
      <c r="C48" s="12" t="s">
        <v>130</v>
      </c>
      <c r="D48" s="12" t="s">
        <v>86</v>
      </c>
      <c r="E48" s="16">
        <v>5000000</v>
      </c>
      <c r="F48" s="17">
        <v>5059.3999999999996</v>
      </c>
      <c r="G48" s="18">
        <v>1.4800000000000001E-2</v>
      </c>
      <c r="H48" s="25">
        <v>7.2675000000000003E-2</v>
      </c>
      <c r="I48" s="13"/>
      <c r="J48" s="1"/>
    </row>
    <row r="49" spans="1:10" ht="13.15" customHeight="1" x14ac:dyDescent="0.2">
      <c r="A49" s="14" t="s">
        <v>131</v>
      </c>
      <c r="B49" s="15" t="s">
        <v>132</v>
      </c>
      <c r="C49" s="12" t="s">
        <v>133</v>
      </c>
      <c r="D49" s="12" t="s">
        <v>111</v>
      </c>
      <c r="E49" s="16">
        <v>5000</v>
      </c>
      <c r="F49" s="17">
        <v>5029</v>
      </c>
      <c r="G49" s="18">
        <v>1.47E-2</v>
      </c>
      <c r="H49" s="25">
        <v>7.2099999999999997E-2</v>
      </c>
      <c r="I49" s="13"/>
      <c r="J49" s="1"/>
    </row>
    <row r="50" spans="1:10" ht="13.15" customHeight="1" x14ac:dyDescent="0.2">
      <c r="A50" s="14" t="s">
        <v>134</v>
      </c>
      <c r="B50" s="15" t="s">
        <v>135</v>
      </c>
      <c r="C50" s="12" t="s">
        <v>136</v>
      </c>
      <c r="D50" s="12" t="s">
        <v>86</v>
      </c>
      <c r="E50" s="16">
        <v>5000000</v>
      </c>
      <c r="F50" s="17">
        <v>5003.78</v>
      </c>
      <c r="G50" s="18">
        <v>1.46E-2</v>
      </c>
      <c r="H50" s="25">
        <v>7.4790999999999996E-2</v>
      </c>
      <c r="I50" s="13"/>
      <c r="J50" s="1"/>
    </row>
    <row r="51" spans="1:10" ht="13.15" customHeight="1" x14ac:dyDescent="0.2">
      <c r="A51" s="14" t="s">
        <v>137</v>
      </c>
      <c r="B51" s="15" t="s">
        <v>138</v>
      </c>
      <c r="C51" s="12" t="s">
        <v>139</v>
      </c>
      <c r="D51" s="12" t="s">
        <v>86</v>
      </c>
      <c r="E51" s="16">
        <v>5000000</v>
      </c>
      <c r="F51" s="17">
        <v>4994.8100000000004</v>
      </c>
      <c r="G51" s="18">
        <v>1.46E-2</v>
      </c>
      <c r="H51" s="25">
        <v>7.2675000000000003E-2</v>
      </c>
      <c r="I51" s="13"/>
      <c r="J51" s="1"/>
    </row>
    <row r="52" spans="1:10" ht="13.15" customHeight="1" x14ac:dyDescent="0.2">
      <c r="A52" s="14" t="s">
        <v>140</v>
      </c>
      <c r="B52" s="15" t="s">
        <v>141</v>
      </c>
      <c r="C52" s="12" t="s">
        <v>142</v>
      </c>
      <c r="D52" s="12" t="s">
        <v>86</v>
      </c>
      <c r="E52" s="16">
        <v>5000000</v>
      </c>
      <c r="F52" s="17">
        <v>4991.84</v>
      </c>
      <c r="G52" s="18">
        <v>1.46E-2</v>
      </c>
      <c r="H52" s="25">
        <v>7.1691000000000005E-2</v>
      </c>
      <c r="I52" s="13"/>
      <c r="J52" s="1"/>
    </row>
    <row r="53" spans="1:10" ht="13.15" customHeight="1" x14ac:dyDescent="0.2">
      <c r="A53" s="14" t="s">
        <v>143</v>
      </c>
      <c r="B53" s="15" t="s">
        <v>144</v>
      </c>
      <c r="C53" s="12" t="s">
        <v>145</v>
      </c>
      <c r="D53" s="12" t="s">
        <v>86</v>
      </c>
      <c r="E53" s="16">
        <v>5000000</v>
      </c>
      <c r="F53" s="17">
        <v>4987.1899999999996</v>
      </c>
      <c r="G53" s="18">
        <v>1.46E-2</v>
      </c>
      <c r="H53" s="25">
        <v>7.3214000000000001E-2</v>
      </c>
      <c r="I53" s="13"/>
      <c r="J53" s="1"/>
    </row>
    <row r="54" spans="1:10" ht="13.15" customHeight="1" x14ac:dyDescent="0.2">
      <c r="A54" s="14" t="s">
        <v>146</v>
      </c>
      <c r="B54" s="15" t="s">
        <v>147</v>
      </c>
      <c r="C54" s="12" t="s">
        <v>148</v>
      </c>
      <c r="D54" s="12" t="s">
        <v>111</v>
      </c>
      <c r="E54" s="16">
        <v>5000</v>
      </c>
      <c r="F54" s="17">
        <v>4979.8100000000004</v>
      </c>
      <c r="G54" s="18">
        <v>1.46E-2</v>
      </c>
      <c r="H54" s="25">
        <v>7.6008999999999993E-2</v>
      </c>
      <c r="I54" s="13"/>
      <c r="J54" s="1"/>
    </row>
    <row r="55" spans="1:10" ht="13.15" customHeight="1" x14ac:dyDescent="0.2">
      <c r="A55" s="14" t="s">
        <v>149</v>
      </c>
      <c r="B55" s="15" t="s">
        <v>150</v>
      </c>
      <c r="C55" s="12" t="s">
        <v>151</v>
      </c>
      <c r="D55" s="12" t="s">
        <v>86</v>
      </c>
      <c r="E55" s="16">
        <v>4500000</v>
      </c>
      <c r="F55" s="17">
        <v>4605.45</v>
      </c>
      <c r="G55" s="18">
        <v>1.35E-2</v>
      </c>
      <c r="H55" s="25">
        <v>7.2928000000000007E-2</v>
      </c>
      <c r="I55" s="13"/>
      <c r="J55" s="1"/>
    </row>
    <row r="56" spans="1:10" ht="13.15" customHeight="1" x14ac:dyDescent="0.2">
      <c r="A56" s="14" t="s">
        <v>152</v>
      </c>
      <c r="B56" s="15" t="s">
        <v>153</v>
      </c>
      <c r="C56" s="12" t="s">
        <v>154</v>
      </c>
      <c r="D56" s="12" t="s">
        <v>86</v>
      </c>
      <c r="E56" s="16">
        <v>4500000</v>
      </c>
      <c r="F56" s="17">
        <v>4516.05</v>
      </c>
      <c r="G56" s="18">
        <v>1.32E-2</v>
      </c>
      <c r="H56" s="25">
        <v>7.2007000000000002E-2</v>
      </c>
      <c r="I56" s="13"/>
      <c r="J56" s="1"/>
    </row>
    <row r="57" spans="1:10" ht="13.15" customHeight="1" x14ac:dyDescent="0.2">
      <c r="A57" s="14" t="s">
        <v>155</v>
      </c>
      <c r="B57" s="15" t="s">
        <v>156</v>
      </c>
      <c r="C57" s="12" t="s">
        <v>157</v>
      </c>
      <c r="D57" s="12" t="s">
        <v>86</v>
      </c>
      <c r="E57" s="16">
        <v>4000000</v>
      </c>
      <c r="F57" s="17">
        <v>4082.66</v>
      </c>
      <c r="G57" s="18">
        <v>1.1900000000000001E-2</v>
      </c>
      <c r="H57" s="25">
        <v>7.4632000000000004E-2</v>
      </c>
      <c r="I57" s="13"/>
      <c r="J57" s="1"/>
    </row>
    <row r="58" spans="1:10" ht="13.15" customHeight="1" x14ac:dyDescent="0.2">
      <c r="A58" s="14" t="s">
        <v>158</v>
      </c>
      <c r="B58" s="15" t="s">
        <v>159</v>
      </c>
      <c r="C58" s="12" t="s">
        <v>160</v>
      </c>
      <c r="D58" s="12" t="s">
        <v>86</v>
      </c>
      <c r="E58" s="16">
        <v>3500000</v>
      </c>
      <c r="F58" s="17">
        <v>3595.32</v>
      </c>
      <c r="G58" s="18">
        <v>1.0500000000000001E-2</v>
      </c>
      <c r="H58" s="25">
        <v>7.2675000000000003E-2</v>
      </c>
      <c r="I58" s="13"/>
      <c r="J58" s="1"/>
    </row>
    <row r="59" spans="1:10" ht="13.15" customHeight="1" x14ac:dyDescent="0.2">
      <c r="A59" s="14" t="s">
        <v>161</v>
      </c>
      <c r="B59" s="15" t="s">
        <v>162</v>
      </c>
      <c r="C59" s="12" t="s">
        <v>163</v>
      </c>
      <c r="D59" s="12" t="s">
        <v>86</v>
      </c>
      <c r="E59" s="16">
        <v>3500000</v>
      </c>
      <c r="F59" s="17">
        <v>3551.08</v>
      </c>
      <c r="G59" s="18">
        <v>1.04E-2</v>
      </c>
      <c r="H59" s="25">
        <v>7.4477000000000002E-2</v>
      </c>
      <c r="I59" s="13"/>
      <c r="J59" s="1"/>
    </row>
    <row r="60" spans="1:10" ht="13.15" customHeight="1" x14ac:dyDescent="0.2">
      <c r="A60" s="14" t="s">
        <v>164</v>
      </c>
      <c r="B60" s="15" t="s">
        <v>165</v>
      </c>
      <c r="C60" s="12" t="s">
        <v>166</v>
      </c>
      <c r="D60" s="12" t="s">
        <v>86</v>
      </c>
      <c r="E60" s="16">
        <v>3000000</v>
      </c>
      <c r="F60" s="17">
        <v>2956.97</v>
      </c>
      <c r="G60" s="18">
        <v>8.6E-3</v>
      </c>
      <c r="H60" s="25">
        <v>7.2571999999999998E-2</v>
      </c>
      <c r="I60" s="13"/>
      <c r="J60" s="1"/>
    </row>
    <row r="61" spans="1:10" ht="13.15" customHeight="1" x14ac:dyDescent="0.2">
      <c r="A61" s="14" t="s">
        <v>167</v>
      </c>
      <c r="B61" s="15" t="s">
        <v>168</v>
      </c>
      <c r="C61" s="12" t="s">
        <v>169</v>
      </c>
      <c r="D61" s="12" t="s">
        <v>86</v>
      </c>
      <c r="E61" s="16">
        <v>2500000</v>
      </c>
      <c r="F61" s="17">
        <v>2577.35</v>
      </c>
      <c r="G61" s="18">
        <v>7.4999999999999997E-3</v>
      </c>
      <c r="H61" s="25">
        <v>7.2928000000000007E-2</v>
      </c>
      <c r="I61" s="13"/>
      <c r="J61" s="1"/>
    </row>
    <row r="62" spans="1:10" ht="13.15" customHeight="1" x14ac:dyDescent="0.2">
      <c r="A62" s="14" t="s">
        <v>170</v>
      </c>
      <c r="B62" s="15" t="s">
        <v>171</v>
      </c>
      <c r="C62" s="12" t="s">
        <v>172</v>
      </c>
      <c r="D62" s="12" t="s">
        <v>86</v>
      </c>
      <c r="E62" s="16">
        <v>2500000</v>
      </c>
      <c r="F62" s="17">
        <v>2568.02</v>
      </c>
      <c r="G62" s="18">
        <v>7.4999999999999997E-3</v>
      </c>
      <c r="H62" s="25">
        <v>7.1276999999999993E-2</v>
      </c>
      <c r="I62" s="13"/>
      <c r="J62" s="1"/>
    </row>
    <row r="63" spans="1:10" ht="13.15" customHeight="1" x14ac:dyDescent="0.2">
      <c r="A63" s="14" t="s">
        <v>173</v>
      </c>
      <c r="B63" s="15" t="s">
        <v>174</v>
      </c>
      <c r="C63" s="12" t="s">
        <v>175</v>
      </c>
      <c r="D63" s="12" t="s">
        <v>86</v>
      </c>
      <c r="E63" s="16">
        <v>2500000</v>
      </c>
      <c r="F63" s="17">
        <v>2566.77</v>
      </c>
      <c r="G63" s="18">
        <v>7.4999999999999997E-3</v>
      </c>
      <c r="H63" s="25">
        <v>7.2675000000000003E-2</v>
      </c>
      <c r="I63" s="13"/>
      <c r="J63" s="1"/>
    </row>
    <row r="64" spans="1:10" ht="13.15" customHeight="1" x14ac:dyDescent="0.2">
      <c r="A64" s="14" t="s">
        <v>176</v>
      </c>
      <c r="B64" s="15" t="s">
        <v>177</v>
      </c>
      <c r="C64" s="12" t="s">
        <v>178</v>
      </c>
      <c r="D64" s="12" t="s">
        <v>86</v>
      </c>
      <c r="E64" s="16">
        <v>2500000</v>
      </c>
      <c r="F64" s="17">
        <v>2558.71</v>
      </c>
      <c r="G64" s="18">
        <v>7.4999999999999997E-3</v>
      </c>
      <c r="H64" s="25">
        <v>6.5629000000000007E-2</v>
      </c>
      <c r="I64" s="13"/>
      <c r="J64" s="1"/>
    </row>
    <row r="65" spans="1:10" ht="13.15" customHeight="1" x14ac:dyDescent="0.2">
      <c r="A65" s="14" t="s">
        <v>179</v>
      </c>
      <c r="B65" s="15" t="s">
        <v>180</v>
      </c>
      <c r="C65" s="12" t="s">
        <v>181</v>
      </c>
      <c r="D65" s="12" t="s">
        <v>86</v>
      </c>
      <c r="E65" s="16">
        <v>2500000</v>
      </c>
      <c r="F65" s="17">
        <v>2552.19</v>
      </c>
      <c r="G65" s="18">
        <v>7.4999999999999997E-3</v>
      </c>
      <c r="H65" s="25">
        <v>7.5135999999999994E-2</v>
      </c>
      <c r="I65" s="13"/>
      <c r="J65" s="1"/>
    </row>
    <row r="66" spans="1:10" ht="13.15" customHeight="1" x14ac:dyDescent="0.2">
      <c r="A66" s="14" t="s">
        <v>182</v>
      </c>
      <c r="B66" s="15" t="s">
        <v>183</v>
      </c>
      <c r="C66" s="12" t="s">
        <v>184</v>
      </c>
      <c r="D66" s="12" t="s">
        <v>86</v>
      </c>
      <c r="E66" s="16">
        <v>2500000</v>
      </c>
      <c r="F66" s="17">
        <v>2548.4899999999998</v>
      </c>
      <c r="G66" s="18">
        <v>7.4999999999999997E-3</v>
      </c>
      <c r="H66" s="25">
        <v>7.1375999999999995E-2</v>
      </c>
      <c r="I66" s="13"/>
      <c r="J66" s="1"/>
    </row>
    <row r="67" spans="1:10" ht="13.15" customHeight="1" x14ac:dyDescent="0.2">
      <c r="A67" s="14" t="s">
        <v>185</v>
      </c>
      <c r="B67" s="15" t="s">
        <v>186</v>
      </c>
      <c r="C67" s="12" t="s">
        <v>187</v>
      </c>
      <c r="D67" s="12" t="s">
        <v>111</v>
      </c>
      <c r="E67" s="16">
        <v>2500</v>
      </c>
      <c r="F67" s="17">
        <v>2518.13</v>
      </c>
      <c r="G67" s="18">
        <v>7.4000000000000003E-3</v>
      </c>
      <c r="H67" s="25">
        <v>7.4699000000000002E-2</v>
      </c>
      <c r="I67" s="13"/>
      <c r="J67" s="1"/>
    </row>
    <row r="68" spans="1:10" ht="13.15" customHeight="1" x14ac:dyDescent="0.2">
      <c r="A68" s="14" t="s">
        <v>188</v>
      </c>
      <c r="B68" s="15" t="s">
        <v>189</v>
      </c>
      <c r="C68" s="12" t="s">
        <v>190</v>
      </c>
      <c r="D68" s="12" t="s">
        <v>111</v>
      </c>
      <c r="E68" s="16">
        <v>2500</v>
      </c>
      <c r="F68" s="17">
        <v>2512.88</v>
      </c>
      <c r="G68" s="18">
        <v>7.3000000000000001E-3</v>
      </c>
      <c r="H68" s="25">
        <v>7.6100000000000001E-2</v>
      </c>
      <c r="I68" s="13"/>
      <c r="J68" s="1"/>
    </row>
    <row r="69" spans="1:10" ht="13.15" customHeight="1" x14ac:dyDescent="0.2">
      <c r="A69" s="14" t="s">
        <v>191</v>
      </c>
      <c r="B69" s="15" t="s">
        <v>192</v>
      </c>
      <c r="C69" s="12" t="s">
        <v>193</v>
      </c>
      <c r="D69" s="12" t="s">
        <v>86</v>
      </c>
      <c r="E69" s="16">
        <v>2500000</v>
      </c>
      <c r="F69" s="17">
        <v>2512.61</v>
      </c>
      <c r="G69" s="18">
        <v>7.3000000000000001E-3</v>
      </c>
      <c r="H69" s="25">
        <v>7.2928000000000007E-2</v>
      </c>
      <c r="I69" s="13"/>
      <c r="J69" s="1"/>
    </row>
    <row r="70" spans="1:10" ht="13.15" customHeight="1" x14ac:dyDescent="0.2">
      <c r="A70" s="14" t="s">
        <v>194</v>
      </c>
      <c r="B70" s="15" t="s">
        <v>195</v>
      </c>
      <c r="C70" s="12" t="s">
        <v>196</v>
      </c>
      <c r="D70" s="12" t="s">
        <v>111</v>
      </c>
      <c r="E70" s="16">
        <v>2500</v>
      </c>
      <c r="F70" s="17">
        <v>2512.16</v>
      </c>
      <c r="G70" s="18">
        <v>7.3000000000000001E-3</v>
      </c>
      <c r="H70" s="25">
        <v>7.22E-2</v>
      </c>
      <c r="I70" s="13"/>
      <c r="J70" s="1"/>
    </row>
    <row r="71" spans="1:10" ht="13.15" customHeight="1" x14ac:dyDescent="0.2">
      <c r="A71" s="14" t="s">
        <v>197</v>
      </c>
      <c r="B71" s="15" t="s">
        <v>198</v>
      </c>
      <c r="C71" s="12" t="s">
        <v>199</v>
      </c>
      <c r="D71" s="12" t="s">
        <v>111</v>
      </c>
      <c r="E71" s="16">
        <v>250</v>
      </c>
      <c r="F71" s="17">
        <v>2487.98</v>
      </c>
      <c r="G71" s="18">
        <v>7.3000000000000001E-3</v>
      </c>
      <c r="H71" s="25">
        <v>7.7399999999999997E-2</v>
      </c>
      <c r="I71" s="13"/>
      <c r="J71" s="1"/>
    </row>
    <row r="72" spans="1:10" ht="13.15" customHeight="1" x14ac:dyDescent="0.2">
      <c r="A72" s="14" t="s">
        <v>200</v>
      </c>
      <c r="B72" s="15" t="s">
        <v>201</v>
      </c>
      <c r="C72" s="12" t="s">
        <v>202</v>
      </c>
      <c r="D72" s="12" t="s">
        <v>111</v>
      </c>
      <c r="E72" s="16">
        <v>2500</v>
      </c>
      <c r="F72" s="17">
        <v>2485.31</v>
      </c>
      <c r="G72" s="18">
        <v>7.3000000000000001E-3</v>
      </c>
      <c r="H72" s="25">
        <v>7.3867000000000002E-2</v>
      </c>
      <c r="I72" s="13"/>
      <c r="J72" s="1"/>
    </row>
    <row r="73" spans="1:10" ht="13.15" customHeight="1" x14ac:dyDescent="0.2">
      <c r="A73" s="14" t="s">
        <v>203</v>
      </c>
      <c r="B73" s="15" t="s">
        <v>204</v>
      </c>
      <c r="C73" s="12" t="s">
        <v>205</v>
      </c>
      <c r="D73" s="12" t="s">
        <v>111</v>
      </c>
      <c r="E73" s="16">
        <v>2500</v>
      </c>
      <c r="F73" s="17">
        <v>2480.9299999999998</v>
      </c>
      <c r="G73" s="18">
        <v>7.3000000000000001E-3</v>
      </c>
      <c r="H73" s="25">
        <v>7.2550000000000003E-2</v>
      </c>
      <c r="I73" s="13"/>
      <c r="J73" s="1"/>
    </row>
    <row r="74" spans="1:10" ht="13.15" customHeight="1" x14ac:dyDescent="0.2">
      <c r="A74" s="14" t="s">
        <v>206</v>
      </c>
      <c r="B74" s="15" t="s">
        <v>207</v>
      </c>
      <c r="C74" s="12" t="s">
        <v>208</v>
      </c>
      <c r="D74" s="12" t="s">
        <v>111</v>
      </c>
      <c r="E74" s="16">
        <v>2500</v>
      </c>
      <c r="F74" s="17">
        <v>2469.61</v>
      </c>
      <c r="G74" s="18">
        <v>7.1999999999999998E-3</v>
      </c>
      <c r="H74" s="25">
        <v>7.7450000000000005E-2</v>
      </c>
      <c r="I74" s="13"/>
      <c r="J74" s="1"/>
    </row>
    <row r="75" spans="1:10" ht="13.15" customHeight="1" x14ac:dyDescent="0.2">
      <c r="A75" s="14" t="s">
        <v>209</v>
      </c>
      <c r="B75" s="15" t="s">
        <v>210</v>
      </c>
      <c r="C75" s="12" t="s">
        <v>211</v>
      </c>
      <c r="D75" s="12" t="s">
        <v>111</v>
      </c>
      <c r="E75" s="16">
        <v>2500</v>
      </c>
      <c r="F75" s="17">
        <v>2467.25</v>
      </c>
      <c r="G75" s="18">
        <v>7.1999999999999998E-3</v>
      </c>
      <c r="H75" s="25">
        <v>7.4648999999999993E-2</v>
      </c>
      <c r="I75" s="13"/>
      <c r="J75" s="1"/>
    </row>
    <row r="76" spans="1:10" ht="13.15" customHeight="1" x14ac:dyDescent="0.2">
      <c r="A76" s="14" t="s">
        <v>212</v>
      </c>
      <c r="B76" s="15" t="s">
        <v>213</v>
      </c>
      <c r="C76" s="12" t="s">
        <v>214</v>
      </c>
      <c r="D76" s="12" t="s">
        <v>111</v>
      </c>
      <c r="E76" s="16">
        <v>2500</v>
      </c>
      <c r="F76" s="17">
        <v>2462.71</v>
      </c>
      <c r="G76" s="18">
        <v>7.1999999999999998E-3</v>
      </c>
      <c r="H76" s="25">
        <v>7.2550000000000003E-2</v>
      </c>
      <c r="I76" s="13"/>
      <c r="J76" s="1"/>
    </row>
    <row r="77" spans="1:10" ht="13.15" customHeight="1" x14ac:dyDescent="0.2">
      <c r="A77" s="14" t="s">
        <v>215</v>
      </c>
      <c r="B77" s="15" t="s">
        <v>216</v>
      </c>
      <c r="C77" s="12" t="s">
        <v>217</v>
      </c>
      <c r="D77" s="12" t="s">
        <v>86</v>
      </c>
      <c r="E77" s="16">
        <v>2500000</v>
      </c>
      <c r="F77" s="17">
        <v>2439.1</v>
      </c>
      <c r="G77" s="18">
        <v>7.1000000000000004E-3</v>
      </c>
      <c r="H77" s="25">
        <v>7.4527999999999997E-2</v>
      </c>
      <c r="I77" s="13"/>
      <c r="J77" s="1"/>
    </row>
    <row r="78" spans="1:10" ht="13.15" customHeight="1" x14ac:dyDescent="0.2">
      <c r="A78" s="14" t="s">
        <v>218</v>
      </c>
      <c r="B78" s="15" t="s">
        <v>219</v>
      </c>
      <c r="C78" s="12" t="s">
        <v>220</v>
      </c>
      <c r="D78" s="12" t="s">
        <v>111</v>
      </c>
      <c r="E78" s="16">
        <v>2265</v>
      </c>
      <c r="F78" s="17">
        <v>2292.08</v>
      </c>
      <c r="G78" s="18">
        <v>6.7000000000000002E-3</v>
      </c>
      <c r="H78" s="25">
        <v>7.6749999999999999E-2</v>
      </c>
      <c r="I78" s="13"/>
      <c r="J78" s="1"/>
    </row>
    <row r="79" spans="1:10" ht="13.15" customHeight="1" x14ac:dyDescent="0.2">
      <c r="A79" s="14" t="s">
        <v>221</v>
      </c>
      <c r="B79" s="15" t="s">
        <v>222</v>
      </c>
      <c r="C79" s="12" t="s">
        <v>223</v>
      </c>
      <c r="D79" s="12" t="s">
        <v>86</v>
      </c>
      <c r="E79" s="16">
        <v>2000000</v>
      </c>
      <c r="F79" s="17">
        <v>2122.85</v>
      </c>
      <c r="G79" s="18">
        <v>6.1999999999999998E-3</v>
      </c>
      <c r="H79" s="25">
        <v>7.1235000000000007E-2</v>
      </c>
      <c r="I79" s="13"/>
      <c r="J79" s="1"/>
    </row>
    <row r="80" spans="1:10" ht="13.15" customHeight="1" x14ac:dyDescent="0.2">
      <c r="A80" s="14" t="s">
        <v>224</v>
      </c>
      <c r="B80" s="15" t="s">
        <v>225</v>
      </c>
      <c r="C80" s="12" t="s">
        <v>226</v>
      </c>
      <c r="D80" s="12" t="s">
        <v>86</v>
      </c>
      <c r="E80" s="16">
        <v>1500000</v>
      </c>
      <c r="F80" s="17">
        <v>1578.71</v>
      </c>
      <c r="G80" s="18">
        <v>4.5999999999999999E-3</v>
      </c>
      <c r="H80" s="25">
        <v>7.1056999999999995E-2</v>
      </c>
      <c r="I80" s="13"/>
      <c r="J80" s="1"/>
    </row>
    <row r="81" spans="1:10" ht="13.15" customHeight="1" x14ac:dyDescent="0.2">
      <c r="A81" s="14" t="s">
        <v>227</v>
      </c>
      <c r="B81" s="15" t="s">
        <v>228</v>
      </c>
      <c r="C81" s="12" t="s">
        <v>229</v>
      </c>
      <c r="D81" s="12" t="s">
        <v>86</v>
      </c>
      <c r="E81" s="16">
        <v>1500000</v>
      </c>
      <c r="F81" s="17">
        <v>1489.89</v>
      </c>
      <c r="G81" s="18">
        <v>4.4000000000000003E-3</v>
      </c>
      <c r="H81" s="25">
        <v>7.3214000000000001E-2</v>
      </c>
      <c r="I81" s="13"/>
      <c r="J81" s="1"/>
    </row>
    <row r="82" spans="1:10" ht="13.15" customHeight="1" x14ac:dyDescent="0.2">
      <c r="A82" s="14" t="s">
        <v>230</v>
      </c>
      <c r="B82" s="15" t="s">
        <v>231</v>
      </c>
      <c r="C82" s="12" t="s">
        <v>232</v>
      </c>
      <c r="D82" s="12" t="s">
        <v>111</v>
      </c>
      <c r="E82" s="16">
        <v>1500</v>
      </c>
      <c r="F82" s="17">
        <v>1487.12</v>
      </c>
      <c r="G82" s="18">
        <v>4.3E-3</v>
      </c>
      <c r="H82" s="25">
        <v>7.5249999999999997E-2</v>
      </c>
      <c r="I82" s="13"/>
      <c r="J82" s="1"/>
    </row>
    <row r="83" spans="1:10" ht="13.15" customHeight="1" x14ac:dyDescent="0.2">
      <c r="A83" s="14" t="s">
        <v>233</v>
      </c>
      <c r="B83" s="15" t="s">
        <v>234</v>
      </c>
      <c r="C83" s="12" t="s">
        <v>235</v>
      </c>
      <c r="D83" s="12" t="s">
        <v>86</v>
      </c>
      <c r="E83" s="16">
        <v>1500000</v>
      </c>
      <c r="F83" s="17">
        <v>1452.24</v>
      </c>
      <c r="G83" s="18">
        <v>4.1999999999999997E-3</v>
      </c>
      <c r="H83" s="25">
        <v>7.4527999999999997E-2</v>
      </c>
      <c r="I83" s="13"/>
      <c r="J83" s="1"/>
    </row>
    <row r="84" spans="1:10" ht="13.15" customHeight="1" x14ac:dyDescent="0.2">
      <c r="A84" s="14" t="s">
        <v>236</v>
      </c>
      <c r="B84" s="15" t="s">
        <v>237</v>
      </c>
      <c r="C84" s="12" t="s">
        <v>238</v>
      </c>
      <c r="D84" s="12" t="s">
        <v>86</v>
      </c>
      <c r="E84" s="16">
        <v>1000000</v>
      </c>
      <c r="F84" s="17">
        <v>1053.55</v>
      </c>
      <c r="G84" s="18">
        <v>3.0999999999999999E-3</v>
      </c>
      <c r="H84" s="25">
        <v>7.1228E-2</v>
      </c>
      <c r="I84" s="13"/>
      <c r="J84" s="1"/>
    </row>
    <row r="85" spans="1:10" ht="13.15" customHeight="1" x14ac:dyDescent="0.2">
      <c r="A85" s="14" t="s">
        <v>239</v>
      </c>
      <c r="B85" s="15" t="s">
        <v>240</v>
      </c>
      <c r="C85" s="12" t="s">
        <v>241</v>
      </c>
      <c r="D85" s="12" t="s">
        <v>86</v>
      </c>
      <c r="E85" s="16">
        <v>1000000</v>
      </c>
      <c r="F85" s="17">
        <v>1030.5899999999999</v>
      </c>
      <c r="G85" s="18">
        <v>3.0000000000000001E-3</v>
      </c>
      <c r="H85" s="25">
        <v>7.3562000000000002E-2</v>
      </c>
      <c r="I85" s="13"/>
      <c r="J85" s="1"/>
    </row>
    <row r="86" spans="1:10" ht="13.15" customHeight="1" x14ac:dyDescent="0.2">
      <c r="A86" s="14" t="s">
        <v>242</v>
      </c>
      <c r="B86" s="15" t="s">
        <v>243</v>
      </c>
      <c r="C86" s="12" t="s">
        <v>244</v>
      </c>
      <c r="D86" s="12" t="s">
        <v>86</v>
      </c>
      <c r="E86" s="16">
        <v>1000000</v>
      </c>
      <c r="F86" s="17">
        <v>1030.06</v>
      </c>
      <c r="G86" s="18">
        <v>3.0000000000000001E-3</v>
      </c>
      <c r="H86" s="25">
        <v>7.3308999999999999E-2</v>
      </c>
      <c r="I86" s="13"/>
      <c r="J86" s="1"/>
    </row>
    <row r="87" spans="1:10" ht="13.15" customHeight="1" x14ac:dyDescent="0.2">
      <c r="A87" s="14" t="s">
        <v>245</v>
      </c>
      <c r="B87" s="15" t="s">
        <v>246</v>
      </c>
      <c r="C87" s="12" t="s">
        <v>247</v>
      </c>
      <c r="D87" s="12" t="s">
        <v>86</v>
      </c>
      <c r="E87" s="16">
        <v>1000000</v>
      </c>
      <c r="F87" s="17">
        <v>1021.7</v>
      </c>
      <c r="G87" s="18">
        <v>3.0000000000000001E-3</v>
      </c>
      <c r="H87" s="25">
        <v>7.4981999999999993E-2</v>
      </c>
      <c r="I87" s="13"/>
      <c r="J87" s="1"/>
    </row>
    <row r="88" spans="1:10" ht="13.15" customHeight="1" x14ac:dyDescent="0.2">
      <c r="A88" s="14" t="s">
        <v>248</v>
      </c>
      <c r="B88" s="15" t="s">
        <v>249</v>
      </c>
      <c r="C88" s="12" t="s">
        <v>250</v>
      </c>
      <c r="D88" s="12" t="s">
        <v>86</v>
      </c>
      <c r="E88" s="16">
        <v>1000000</v>
      </c>
      <c r="F88" s="17">
        <v>1017.74</v>
      </c>
      <c r="G88" s="18">
        <v>3.0000000000000001E-3</v>
      </c>
      <c r="H88" s="25">
        <v>7.4632000000000004E-2</v>
      </c>
      <c r="I88" s="13"/>
      <c r="J88" s="1"/>
    </row>
    <row r="89" spans="1:10" ht="13.15" customHeight="1" x14ac:dyDescent="0.2">
      <c r="A89" s="14" t="s">
        <v>251</v>
      </c>
      <c r="B89" s="15" t="s">
        <v>252</v>
      </c>
      <c r="C89" s="12" t="s">
        <v>253</v>
      </c>
      <c r="D89" s="12" t="s">
        <v>86</v>
      </c>
      <c r="E89" s="16">
        <v>1000000</v>
      </c>
      <c r="F89" s="17">
        <v>1014.8</v>
      </c>
      <c r="G89" s="18">
        <v>3.0000000000000001E-3</v>
      </c>
      <c r="H89" s="25">
        <v>7.0789000000000005E-2</v>
      </c>
      <c r="I89" s="13"/>
      <c r="J89" s="1"/>
    </row>
    <row r="90" spans="1:10" ht="13.15" customHeight="1" x14ac:dyDescent="0.2">
      <c r="A90" s="14" t="s">
        <v>254</v>
      </c>
      <c r="B90" s="15" t="s">
        <v>255</v>
      </c>
      <c r="C90" s="12" t="s">
        <v>256</v>
      </c>
      <c r="D90" s="12" t="s">
        <v>86</v>
      </c>
      <c r="E90" s="16">
        <v>1000000</v>
      </c>
      <c r="F90" s="17">
        <v>1013.37</v>
      </c>
      <c r="G90" s="18">
        <v>3.0000000000000001E-3</v>
      </c>
      <c r="H90" s="25">
        <v>7.1375999999999995E-2</v>
      </c>
      <c r="I90" s="13"/>
      <c r="J90" s="1"/>
    </row>
    <row r="91" spans="1:10" ht="13.15" customHeight="1" x14ac:dyDescent="0.2">
      <c r="A91" s="14" t="s">
        <v>257</v>
      </c>
      <c r="B91" s="15" t="s">
        <v>258</v>
      </c>
      <c r="C91" s="12" t="s">
        <v>259</v>
      </c>
      <c r="D91" s="12" t="s">
        <v>86</v>
      </c>
      <c r="E91" s="16">
        <v>1000000</v>
      </c>
      <c r="F91" s="17">
        <v>998.94</v>
      </c>
      <c r="G91" s="18">
        <v>2.8999999999999998E-3</v>
      </c>
      <c r="H91" s="25">
        <v>7.2675000000000003E-2</v>
      </c>
      <c r="I91" s="13"/>
      <c r="J91" s="1"/>
    </row>
    <row r="92" spans="1:10" ht="13.15" customHeight="1" x14ac:dyDescent="0.2">
      <c r="A92" s="14" t="s">
        <v>260</v>
      </c>
      <c r="B92" s="15" t="s">
        <v>261</v>
      </c>
      <c r="C92" s="12" t="s">
        <v>262</v>
      </c>
      <c r="D92" s="12" t="s">
        <v>86</v>
      </c>
      <c r="E92" s="16">
        <v>1000000</v>
      </c>
      <c r="F92" s="17">
        <v>996.64</v>
      </c>
      <c r="G92" s="18">
        <v>2.8999999999999998E-3</v>
      </c>
      <c r="H92" s="25">
        <v>7.2928000000000007E-2</v>
      </c>
      <c r="I92" s="13"/>
      <c r="J92" s="1"/>
    </row>
    <row r="93" spans="1:10" ht="13.15" customHeight="1" x14ac:dyDescent="0.2">
      <c r="A93" s="14" t="s">
        <v>263</v>
      </c>
      <c r="B93" s="15" t="s">
        <v>264</v>
      </c>
      <c r="C93" s="12" t="s">
        <v>265</v>
      </c>
      <c r="D93" s="12" t="s">
        <v>86</v>
      </c>
      <c r="E93" s="16">
        <v>1000000</v>
      </c>
      <c r="F93" s="17">
        <v>996.64</v>
      </c>
      <c r="G93" s="18">
        <v>2.8999999999999998E-3</v>
      </c>
      <c r="H93" s="25">
        <v>7.2928000000000007E-2</v>
      </c>
      <c r="I93" s="13"/>
      <c r="J93" s="1"/>
    </row>
    <row r="94" spans="1:10" ht="13.15" customHeight="1" x14ac:dyDescent="0.2">
      <c r="A94" s="14" t="s">
        <v>266</v>
      </c>
      <c r="B94" s="15" t="s">
        <v>267</v>
      </c>
      <c r="C94" s="12" t="s">
        <v>268</v>
      </c>
      <c r="D94" s="12" t="s">
        <v>86</v>
      </c>
      <c r="E94" s="16">
        <v>1000000</v>
      </c>
      <c r="F94" s="17">
        <v>994.15</v>
      </c>
      <c r="G94" s="18">
        <v>2.8999999999999998E-3</v>
      </c>
      <c r="H94" s="25">
        <v>7.2928000000000007E-2</v>
      </c>
      <c r="I94" s="13"/>
      <c r="J94" s="1"/>
    </row>
    <row r="95" spans="1:10" ht="13.15" customHeight="1" x14ac:dyDescent="0.2">
      <c r="A95" s="14" t="s">
        <v>269</v>
      </c>
      <c r="B95" s="15" t="s">
        <v>270</v>
      </c>
      <c r="C95" s="12" t="s">
        <v>271</v>
      </c>
      <c r="D95" s="12" t="s">
        <v>86</v>
      </c>
      <c r="E95" s="16">
        <v>1000000</v>
      </c>
      <c r="F95" s="17">
        <v>985.98</v>
      </c>
      <c r="G95" s="18">
        <v>2.8999999999999998E-3</v>
      </c>
      <c r="H95" s="25">
        <v>7.2824E-2</v>
      </c>
      <c r="I95" s="13"/>
      <c r="J95" s="1"/>
    </row>
    <row r="96" spans="1:10" ht="13.15" customHeight="1" x14ac:dyDescent="0.2">
      <c r="A96" s="14" t="s">
        <v>272</v>
      </c>
      <c r="B96" s="15" t="s">
        <v>273</v>
      </c>
      <c r="C96" s="12" t="s">
        <v>274</v>
      </c>
      <c r="D96" s="12" t="s">
        <v>86</v>
      </c>
      <c r="E96" s="16">
        <v>1000000</v>
      </c>
      <c r="F96" s="17">
        <v>983.29</v>
      </c>
      <c r="G96" s="18">
        <v>2.8999999999999998E-3</v>
      </c>
      <c r="H96" s="25">
        <v>7.4632000000000004E-2</v>
      </c>
      <c r="I96" s="13"/>
      <c r="J96" s="1"/>
    </row>
    <row r="97" spans="1:10" ht="13.15" customHeight="1" x14ac:dyDescent="0.2">
      <c r="A97" s="14" t="s">
        <v>275</v>
      </c>
      <c r="B97" s="15" t="s">
        <v>276</v>
      </c>
      <c r="C97" s="12" t="s">
        <v>277</v>
      </c>
      <c r="D97" s="12" t="s">
        <v>86</v>
      </c>
      <c r="E97" s="16">
        <v>582200</v>
      </c>
      <c r="F97" s="17">
        <v>584.73</v>
      </c>
      <c r="G97" s="18">
        <v>1.6999999999999999E-3</v>
      </c>
      <c r="H97" s="25">
        <v>7.1691000000000005E-2</v>
      </c>
      <c r="I97" s="13"/>
      <c r="J97" s="1"/>
    </row>
    <row r="98" spans="1:10" ht="13.15" customHeight="1" x14ac:dyDescent="0.2">
      <c r="A98" s="14" t="s">
        <v>278</v>
      </c>
      <c r="B98" s="15" t="s">
        <v>279</v>
      </c>
      <c r="C98" s="12" t="s">
        <v>280</v>
      </c>
      <c r="D98" s="12" t="s">
        <v>86</v>
      </c>
      <c r="E98" s="16">
        <v>500000</v>
      </c>
      <c r="F98" s="17">
        <v>519.69000000000005</v>
      </c>
      <c r="G98" s="18">
        <v>1.5E-3</v>
      </c>
      <c r="H98" s="25">
        <v>6.8917000000000006E-2</v>
      </c>
      <c r="I98" s="13"/>
      <c r="J98" s="1"/>
    </row>
    <row r="99" spans="1:10" ht="13.15" customHeight="1" x14ac:dyDescent="0.2">
      <c r="A99" s="14" t="s">
        <v>281</v>
      </c>
      <c r="B99" s="15" t="s">
        <v>282</v>
      </c>
      <c r="C99" s="12" t="s">
        <v>283</v>
      </c>
      <c r="D99" s="12" t="s">
        <v>86</v>
      </c>
      <c r="E99" s="16">
        <v>500000</v>
      </c>
      <c r="F99" s="17">
        <v>518.63</v>
      </c>
      <c r="G99" s="18">
        <v>1.5E-3</v>
      </c>
      <c r="H99" s="25">
        <v>7.0973999999999995E-2</v>
      </c>
      <c r="I99" s="13"/>
      <c r="J99" s="1"/>
    </row>
    <row r="100" spans="1:10" ht="13.15" customHeight="1" x14ac:dyDescent="0.2">
      <c r="A100" s="14" t="s">
        <v>284</v>
      </c>
      <c r="B100" s="15" t="s">
        <v>285</v>
      </c>
      <c r="C100" s="12" t="s">
        <v>286</v>
      </c>
      <c r="D100" s="12" t="s">
        <v>86</v>
      </c>
      <c r="E100" s="16">
        <v>500000</v>
      </c>
      <c r="F100" s="17">
        <v>511.72</v>
      </c>
      <c r="G100" s="18">
        <v>1.5E-3</v>
      </c>
      <c r="H100" s="25">
        <v>7.3308999999999999E-2</v>
      </c>
      <c r="I100" s="13"/>
      <c r="J100" s="1"/>
    </row>
    <row r="101" spans="1:10" ht="13.15" customHeight="1" x14ac:dyDescent="0.2">
      <c r="A101" s="14" t="s">
        <v>287</v>
      </c>
      <c r="B101" s="15" t="s">
        <v>288</v>
      </c>
      <c r="C101" s="12" t="s">
        <v>289</v>
      </c>
      <c r="D101" s="12" t="s">
        <v>86</v>
      </c>
      <c r="E101" s="16">
        <v>500000</v>
      </c>
      <c r="F101" s="17">
        <v>511.01</v>
      </c>
      <c r="G101" s="18">
        <v>1.5E-3</v>
      </c>
      <c r="H101" s="25">
        <v>7.4477000000000002E-2</v>
      </c>
      <c r="I101" s="13"/>
      <c r="J101" s="1"/>
    </row>
    <row r="102" spans="1:10" ht="13.15" customHeight="1" x14ac:dyDescent="0.2">
      <c r="A102" s="14" t="s">
        <v>290</v>
      </c>
      <c r="B102" s="15" t="s">
        <v>291</v>
      </c>
      <c r="C102" s="12" t="s">
        <v>292</v>
      </c>
      <c r="D102" s="12" t="s">
        <v>86</v>
      </c>
      <c r="E102" s="16">
        <v>500000</v>
      </c>
      <c r="F102" s="17">
        <v>504.23</v>
      </c>
      <c r="G102" s="18">
        <v>1.5E-3</v>
      </c>
      <c r="H102" s="25">
        <v>7.2675000000000003E-2</v>
      </c>
      <c r="I102" s="13"/>
      <c r="J102" s="1"/>
    </row>
    <row r="103" spans="1:10" ht="13.15" customHeight="1" x14ac:dyDescent="0.2">
      <c r="A103" s="14" t="s">
        <v>293</v>
      </c>
      <c r="B103" s="15" t="s">
        <v>294</v>
      </c>
      <c r="C103" s="12" t="s">
        <v>295</v>
      </c>
      <c r="D103" s="12" t="s">
        <v>86</v>
      </c>
      <c r="E103" s="16">
        <v>500000</v>
      </c>
      <c r="F103" s="17">
        <v>503.98</v>
      </c>
      <c r="G103" s="18">
        <v>1.5E-3</v>
      </c>
      <c r="H103" s="25">
        <v>7.2928000000000007E-2</v>
      </c>
      <c r="I103" s="13"/>
      <c r="J103" s="1"/>
    </row>
    <row r="104" spans="1:10" ht="13.15" customHeight="1" x14ac:dyDescent="0.2">
      <c r="A104" s="14" t="s">
        <v>296</v>
      </c>
      <c r="B104" s="15" t="s">
        <v>297</v>
      </c>
      <c r="C104" s="12" t="s">
        <v>298</v>
      </c>
      <c r="D104" s="12" t="s">
        <v>86</v>
      </c>
      <c r="E104" s="16">
        <v>500000</v>
      </c>
      <c r="F104" s="17">
        <v>501.57</v>
      </c>
      <c r="G104" s="18">
        <v>1.5E-3</v>
      </c>
      <c r="H104" s="25">
        <v>7.4625999999999998E-2</v>
      </c>
      <c r="I104" s="13"/>
      <c r="J104" s="1"/>
    </row>
    <row r="105" spans="1:10" ht="13.15" customHeight="1" x14ac:dyDescent="0.2">
      <c r="A105" s="14" t="s">
        <v>299</v>
      </c>
      <c r="B105" s="15" t="s">
        <v>300</v>
      </c>
      <c r="C105" s="12" t="s">
        <v>301</v>
      </c>
      <c r="D105" s="12" t="s">
        <v>111</v>
      </c>
      <c r="E105" s="16">
        <v>50000</v>
      </c>
      <c r="F105" s="17">
        <v>501.57</v>
      </c>
      <c r="G105" s="18">
        <v>1.5E-3</v>
      </c>
      <c r="H105" s="25">
        <v>7.4899999999999994E-2</v>
      </c>
      <c r="I105" s="13"/>
      <c r="J105" s="1"/>
    </row>
    <row r="106" spans="1:10" ht="13.15" customHeight="1" x14ac:dyDescent="0.2">
      <c r="A106" s="14" t="s">
        <v>302</v>
      </c>
      <c r="B106" s="15" t="s">
        <v>303</v>
      </c>
      <c r="C106" s="12" t="s">
        <v>304</v>
      </c>
      <c r="D106" s="12" t="s">
        <v>86</v>
      </c>
      <c r="E106" s="16">
        <v>500000</v>
      </c>
      <c r="F106" s="17">
        <v>501.29</v>
      </c>
      <c r="G106" s="18">
        <v>1.5E-3</v>
      </c>
      <c r="H106" s="25">
        <v>7.2928000000000007E-2</v>
      </c>
      <c r="I106" s="13"/>
      <c r="J106" s="1"/>
    </row>
    <row r="107" spans="1:10" ht="13.15" customHeight="1" x14ac:dyDescent="0.2">
      <c r="A107" s="14" t="s">
        <v>305</v>
      </c>
      <c r="B107" s="15" t="s">
        <v>306</v>
      </c>
      <c r="C107" s="12" t="s">
        <v>307</v>
      </c>
      <c r="D107" s="12" t="s">
        <v>86</v>
      </c>
      <c r="E107" s="16">
        <v>500000</v>
      </c>
      <c r="F107" s="17">
        <v>501.05</v>
      </c>
      <c r="G107" s="18">
        <v>1.5E-3</v>
      </c>
      <c r="H107" s="25">
        <v>7.2928000000000007E-2</v>
      </c>
      <c r="I107" s="13"/>
      <c r="J107" s="1"/>
    </row>
    <row r="108" spans="1:10" ht="13.15" customHeight="1" x14ac:dyDescent="0.2">
      <c r="A108" s="14" t="s">
        <v>308</v>
      </c>
      <c r="B108" s="15" t="s">
        <v>309</v>
      </c>
      <c r="C108" s="12" t="s">
        <v>310</v>
      </c>
      <c r="D108" s="12" t="s">
        <v>86</v>
      </c>
      <c r="E108" s="16">
        <v>500000</v>
      </c>
      <c r="F108" s="17">
        <v>498.56</v>
      </c>
      <c r="G108" s="18">
        <v>1.5E-3</v>
      </c>
      <c r="H108" s="25">
        <v>7.1587999999999999E-2</v>
      </c>
      <c r="I108" s="13"/>
      <c r="J108" s="1"/>
    </row>
    <row r="109" spans="1:10" ht="13.15" customHeight="1" x14ac:dyDescent="0.2">
      <c r="A109" s="14" t="s">
        <v>311</v>
      </c>
      <c r="B109" s="15" t="s">
        <v>312</v>
      </c>
      <c r="C109" s="12" t="s">
        <v>313</v>
      </c>
      <c r="D109" s="12" t="s">
        <v>86</v>
      </c>
      <c r="E109" s="16">
        <v>500000</v>
      </c>
      <c r="F109" s="17">
        <v>498.18</v>
      </c>
      <c r="G109" s="18">
        <v>1.5E-3</v>
      </c>
      <c r="H109" s="25">
        <v>7.1746000000000004E-2</v>
      </c>
      <c r="I109" s="13"/>
      <c r="J109" s="1"/>
    </row>
    <row r="110" spans="1:10" ht="13.15" customHeight="1" x14ac:dyDescent="0.2">
      <c r="A110" s="14" t="s">
        <v>314</v>
      </c>
      <c r="B110" s="15" t="s">
        <v>315</v>
      </c>
      <c r="C110" s="12" t="s">
        <v>316</v>
      </c>
      <c r="D110" s="12" t="s">
        <v>86</v>
      </c>
      <c r="E110" s="16">
        <v>500000</v>
      </c>
      <c r="F110" s="17">
        <v>495.06</v>
      </c>
      <c r="G110" s="18">
        <v>1.4E-3</v>
      </c>
      <c r="H110" s="25">
        <v>7.1746000000000004E-2</v>
      </c>
      <c r="I110" s="13"/>
      <c r="J110" s="1"/>
    </row>
    <row r="111" spans="1:10" ht="13.15" customHeight="1" x14ac:dyDescent="0.2">
      <c r="A111" s="1"/>
      <c r="B111" s="19" t="s">
        <v>42</v>
      </c>
      <c r="C111" s="20"/>
      <c r="D111" s="20"/>
      <c r="E111" s="20"/>
      <c r="F111" s="21">
        <v>250846.89</v>
      </c>
      <c r="G111" s="22">
        <v>0.73360000000000003</v>
      </c>
      <c r="H111" s="23"/>
      <c r="I111" s="23"/>
      <c r="J111" s="1"/>
    </row>
    <row r="112" spans="1:10" ht="13.15" customHeight="1" x14ac:dyDescent="0.2">
      <c r="A112" s="1"/>
      <c r="B112" s="19" t="s">
        <v>317</v>
      </c>
      <c r="C112" s="20"/>
      <c r="D112" s="20"/>
      <c r="E112" s="20"/>
      <c r="F112" s="23" t="s">
        <v>79</v>
      </c>
      <c r="G112" s="23" t="s">
        <v>79</v>
      </c>
      <c r="H112" s="23"/>
      <c r="I112" s="23"/>
      <c r="J112" s="1"/>
    </row>
    <row r="113" spans="1:10" ht="13.15" customHeight="1" x14ac:dyDescent="0.2">
      <c r="A113" s="1"/>
      <c r="B113" s="19" t="s">
        <v>42</v>
      </c>
      <c r="C113" s="20"/>
      <c r="D113" s="20"/>
      <c r="E113" s="20"/>
      <c r="F113" s="23" t="s">
        <v>79</v>
      </c>
      <c r="G113" s="23" t="s">
        <v>79</v>
      </c>
      <c r="H113" s="23"/>
      <c r="I113" s="23"/>
      <c r="J113" s="1"/>
    </row>
    <row r="114" spans="1:10" ht="13.15" customHeight="1" x14ac:dyDescent="0.2">
      <c r="A114" s="1"/>
      <c r="B114" s="19" t="s">
        <v>80</v>
      </c>
      <c r="C114" s="24"/>
      <c r="D114" s="20"/>
      <c r="E114" s="24"/>
      <c r="F114" s="21">
        <v>250846.89</v>
      </c>
      <c r="G114" s="22">
        <v>0.73360000000000003</v>
      </c>
      <c r="H114" s="23"/>
      <c r="I114" s="23"/>
      <c r="J114" s="1"/>
    </row>
    <row r="115" spans="1:10" ht="13.15" customHeight="1" x14ac:dyDescent="0.2">
      <c r="A115" s="1"/>
      <c r="B115" s="11" t="s">
        <v>318</v>
      </c>
      <c r="C115" s="12"/>
      <c r="D115" s="12"/>
      <c r="E115" s="12"/>
      <c r="F115" s="12"/>
      <c r="G115" s="12"/>
      <c r="H115" s="13"/>
      <c r="I115" s="13"/>
      <c r="J115" s="1"/>
    </row>
    <row r="116" spans="1:10" ht="13.15" customHeight="1" x14ac:dyDescent="0.2">
      <c r="A116" s="1"/>
      <c r="B116" s="11" t="s">
        <v>319</v>
      </c>
      <c r="C116" s="12"/>
      <c r="D116" s="12"/>
      <c r="E116" s="12"/>
      <c r="F116" s="1"/>
      <c r="G116" s="13"/>
      <c r="H116" s="13"/>
      <c r="I116" s="13"/>
      <c r="J116" s="1"/>
    </row>
    <row r="117" spans="1:10" ht="13.15" customHeight="1" x14ac:dyDescent="0.2">
      <c r="A117" s="14" t="s">
        <v>320</v>
      </c>
      <c r="B117" s="15" t="s">
        <v>321</v>
      </c>
      <c r="C117" s="12" t="s">
        <v>322</v>
      </c>
      <c r="D117" s="12" t="s">
        <v>86</v>
      </c>
      <c r="E117" s="16">
        <v>500000</v>
      </c>
      <c r="F117" s="17">
        <v>497.96</v>
      </c>
      <c r="G117" s="18">
        <v>1.5E-3</v>
      </c>
      <c r="H117" s="25">
        <v>5.1638000000000003E-2</v>
      </c>
      <c r="I117" s="13"/>
      <c r="J117" s="1"/>
    </row>
    <row r="118" spans="1:10" ht="13.15" customHeight="1" x14ac:dyDescent="0.2">
      <c r="A118" s="1"/>
      <c r="B118" s="19" t="s">
        <v>42</v>
      </c>
      <c r="C118" s="20"/>
      <c r="D118" s="20"/>
      <c r="E118" s="20"/>
      <c r="F118" s="21">
        <v>497.96</v>
      </c>
      <c r="G118" s="22">
        <v>1.5E-3</v>
      </c>
      <c r="H118" s="23"/>
      <c r="I118" s="23"/>
      <c r="J118" s="1"/>
    </row>
    <row r="119" spans="1:10" ht="13.15" customHeight="1" x14ac:dyDescent="0.2">
      <c r="A119" s="1"/>
      <c r="B119" s="19" t="s">
        <v>80</v>
      </c>
      <c r="C119" s="24"/>
      <c r="D119" s="20"/>
      <c r="E119" s="24"/>
      <c r="F119" s="21">
        <v>497.96</v>
      </c>
      <c r="G119" s="22">
        <v>1.5E-3</v>
      </c>
      <c r="H119" s="23"/>
      <c r="I119" s="23"/>
      <c r="J119" s="1"/>
    </row>
    <row r="120" spans="1:10" ht="13.15" customHeight="1" x14ac:dyDescent="0.2">
      <c r="A120" s="1"/>
      <c r="B120" s="11" t="s">
        <v>323</v>
      </c>
      <c r="C120" s="12"/>
      <c r="D120" s="12"/>
      <c r="E120" s="12"/>
      <c r="F120" s="12"/>
      <c r="G120" s="12"/>
      <c r="H120" s="13"/>
      <c r="I120" s="13"/>
      <c r="J120" s="1"/>
    </row>
    <row r="121" spans="1:10" ht="13.15" customHeight="1" x14ac:dyDescent="0.2">
      <c r="A121" s="1"/>
      <c r="B121" s="11" t="s">
        <v>324</v>
      </c>
      <c r="C121" s="12"/>
      <c r="D121" s="12"/>
      <c r="E121" s="12"/>
      <c r="F121" s="1"/>
      <c r="G121" s="13"/>
      <c r="H121" s="13"/>
      <c r="I121" s="13"/>
      <c r="J121" s="1"/>
    </row>
    <row r="122" spans="1:10" ht="13.15" customHeight="1" x14ac:dyDescent="0.2">
      <c r="A122" s="14" t="s">
        <v>325</v>
      </c>
      <c r="B122" s="26" t="s">
        <v>326</v>
      </c>
      <c r="C122" s="12" t="s">
        <v>327</v>
      </c>
      <c r="D122" s="12" t="s">
        <v>328</v>
      </c>
      <c r="E122" s="16">
        <v>7580.9719999999998</v>
      </c>
      <c r="F122" s="17">
        <v>899.97</v>
      </c>
      <c r="G122" s="18">
        <v>2.5999999999999999E-3</v>
      </c>
      <c r="H122" s="25">
        <v>5.5100000000000003E-2</v>
      </c>
      <c r="I122" s="13"/>
      <c r="J122" s="1"/>
    </row>
    <row r="123" spans="1:10" ht="13.15" customHeight="1" x14ac:dyDescent="0.2">
      <c r="A123" s="1"/>
      <c r="B123" s="19" t="s">
        <v>42</v>
      </c>
      <c r="C123" s="20"/>
      <c r="D123" s="20"/>
      <c r="E123" s="20"/>
      <c r="F123" s="21">
        <v>899.97</v>
      </c>
      <c r="G123" s="22">
        <v>2.5999999999999999E-3</v>
      </c>
      <c r="H123" s="23"/>
      <c r="I123" s="23"/>
      <c r="J123" s="1"/>
    </row>
    <row r="124" spans="1:10" ht="13.15" customHeight="1" x14ac:dyDescent="0.2">
      <c r="A124" s="1"/>
      <c r="B124" s="11" t="s">
        <v>329</v>
      </c>
      <c r="C124" s="12"/>
      <c r="D124" s="12"/>
      <c r="E124" s="12"/>
      <c r="F124" s="1"/>
      <c r="G124" s="13"/>
      <c r="H124" s="13"/>
      <c r="I124" s="13"/>
      <c r="J124" s="1"/>
    </row>
    <row r="125" spans="1:10" ht="13.15" customHeight="1" x14ac:dyDescent="0.2">
      <c r="A125" s="14" t="s">
        <v>330</v>
      </c>
      <c r="B125" s="15" t="s">
        <v>331</v>
      </c>
      <c r="C125" s="12" t="s">
        <v>332</v>
      </c>
      <c r="D125" s="12" t="s">
        <v>328</v>
      </c>
      <c r="E125" s="16">
        <v>254235.948</v>
      </c>
      <c r="F125" s="17">
        <v>3943.54</v>
      </c>
      <c r="G125" s="18">
        <v>1.15E-2</v>
      </c>
      <c r="H125" s="25"/>
      <c r="I125" s="13"/>
      <c r="J125" s="1"/>
    </row>
    <row r="126" spans="1:10" ht="13.15" customHeight="1" x14ac:dyDescent="0.2">
      <c r="A126" s="1"/>
      <c r="B126" s="19" t="s">
        <v>42</v>
      </c>
      <c r="C126" s="20"/>
      <c r="D126" s="20"/>
      <c r="E126" s="20"/>
      <c r="F126" s="21">
        <v>3943.54</v>
      </c>
      <c r="G126" s="22">
        <v>1.15E-2</v>
      </c>
      <c r="H126" s="23"/>
      <c r="I126" s="23"/>
      <c r="J126" s="1"/>
    </row>
    <row r="127" spans="1:10" ht="13.15" customHeight="1" x14ac:dyDescent="0.2">
      <c r="A127" s="1"/>
      <c r="B127" s="19" t="s">
        <v>80</v>
      </c>
      <c r="C127" s="24"/>
      <c r="D127" s="20"/>
      <c r="E127" s="24"/>
      <c r="F127" s="21">
        <v>4843.51</v>
      </c>
      <c r="G127" s="22">
        <v>1.41E-2</v>
      </c>
      <c r="H127" s="23"/>
      <c r="I127" s="23"/>
      <c r="J127" s="1"/>
    </row>
    <row r="128" spans="1:10" ht="13.15" customHeight="1" x14ac:dyDescent="0.2">
      <c r="A128" s="1"/>
      <c r="B128" s="11" t="s">
        <v>333</v>
      </c>
      <c r="C128" s="12"/>
      <c r="D128" s="12"/>
      <c r="E128" s="12"/>
      <c r="F128" s="12"/>
      <c r="G128" s="12"/>
      <c r="H128" s="13"/>
      <c r="I128" s="13"/>
      <c r="J128" s="1"/>
    </row>
    <row r="129" spans="1:10" ht="13.15" customHeight="1" x14ac:dyDescent="0.2">
      <c r="A129" s="14" t="s">
        <v>334</v>
      </c>
      <c r="B129" s="15" t="s">
        <v>335</v>
      </c>
      <c r="C129" s="12"/>
      <c r="D129" s="12" t="s">
        <v>328</v>
      </c>
      <c r="E129" s="16"/>
      <c r="F129" s="17">
        <v>5855</v>
      </c>
      <c r="G129" s="18">
        <v>1.7100000000000001E-2</v>
      </c>
      <c r="H129" s="25">
        <v>5.4899998505519056E-2</v>
      </c>
      <c r="I129" s="13"/>
      <c r="J129" s="1"/>
    </row>
    <row r="130" spans="1:10" ht="13.15" customHeight="1" x14ac:dyDescent="0.2">
      <c r="A130" s="1"/>
      <c r="B130" s="19" t="s">
        <v>42</v>
      </c>
      <c r="C130" s="20"/>
      <c r="D130" s="20"/>
      <c r="E130" s="20"/>
      <c r="F130" s="21">
        <v>5855</v>
      </c>
      <c r="G130" s="22">
        <v>1.7100000000000001E-2</v>
      </c>
      <c r="H130" s="23"/>
      <c r="I130" s="23"/>
      <c r="J130" s="1"/>
    </row>
    <row r="131" spans="1:10" ht="13.15" customHeight="1" x14ac:dyDescent="0.2">
      <c r="A131" s="1"/>
      <c r="B131" s="19" t="s">
        <v>80</v>
      </c>
      <c r="C131" s="24"/>
      <c r="D131" s="20"/>
      <c r="E131" s="24"/>
      <c r="F131" s="21">
        <v>5855</v>
      </c>
      <c r="G131" s="22">
        <v>1.7100000000000001E-2</v>
      </c>
      <c r="H131" s="23"/>
      <c r="I131" s="23"/>
      <c r="J131" s="1"/>
    </row>
    <row r="132" spans="1:10" ht="13.15" customHeight="1" x14ac:dyDescent="0.2">
      <c r="A132" s="1"/>
      <c r="B132" s="19" t="s">
        <v>336</v>
      </c>
      <c r="C132" s="12"/>
      <c r="D132" s="20"/>
      <c r="E132" s="12"/>
      <c r="F132" s="27">
        <f>9494.47+E145</f>
        <v>4459.8099999999995</v>
      </c>
      <c r="G132" s="22">
        <f>2.8%+F145</f>
        <v>1.3199999999999996E-2</v>
      </c>
      <c r="H132" s="23"/>
      <c r="I132" s="23"/>
      <c r="J132" s="1"/>
    </row>
    <row r="133" spans="1:10" ht="13.15" customHeight="1" x14ac:dyDescent="0.2">
      <c r="A133" s="1"/>
      <c r="B133" s="28" t="s">
        <v>337</v>
      </c>
      <c r="C133" s="24"/>
      <c r="D133" s="24"/>
      <c r="E133" s="24"/>
      <c r="F133" s="27">
        <v>341890.1</v>
      </c>
      <c r="G133" s="29">
        <v>1</v>
      </c>
      <c r="H133" s="30"/>
      <c r="I133" s="30"/>
      <c r="J133" s="1"/>
    </row>
    <row r="135" spans="1:10" x14ac:dyDescent="0.2">
      <c r="B135" s="6" t="s">
        <v>338</v>
      </c>
      <c r="C135" s="5"/>
      <c r="D135" s="5"/>
      <c r="E135" s="5"/>
      <c r="F135" s="31"/>
      <c r="G135" s="5"/>
    </row>
    <row r="136" spans="1:10" ht="13.15" customHeight="1" x14ac:dyDescent="0.2">
      <c r="A136" s="1"/>
      <c r="B136" s="32" t="s">
        <v>3</v>
      </c>
      <c r="C136" s="32" t="s">
        <v>339</v>
      </c>
      <c r="D136" s="32" t="s">
        <v>6</v>
      </c>
      <c r="E136" s="32" t="s">
        <v>340</v>
      </c>
      <c r="F136" s="32" t="s">
        <v>341</v>
      </c>
      <c r="G136" s="32" t="s">
        <v>342</v>
      </c>
      <c r="H136" s="1"/>
    </row>
    <row r="137" spans="1:10" ht="13.15" customHeight="1" x14ac:dyDescent="0.2">
      <c r="A137" s="1"/>
      <c r="B137" s="32" t="s">
        <v>343</v>
      </c>
      <c r="C137" s="32"/>
      <c r="D137" s="32"/>
      <c r="E137" s="33"/>
      <c r="F137" s="34"/>
      <c r="G137" s="34"/>
      <c r="H137" s="1"/>
    </row>
    <row r="138" spans="1:10" ht="13.15" customHeight="1" x14ac:dyDescent="0.2">
      <c r="A138" s="14" t="s">
        <v>344</v>
      </c>
      <c r="B138" s="15" t="s">
        <v>345</v>
      </c>
      <c r="C138" s="12" t="s">
        <v>346</v>
      </c>
      <c r="D138" s="17">
        <v>-115425</v>
      </c>
      <c r="E138" s="17">
        <v>-1663.85</v>
      </c>
      <c r="F138" s="18">
        <v>-4.8999999999999998E-3</v>
      </c>
      <c r="G138" s="13"/>
      <c r="H138" s="1"/>
    </row>
    <row r="139" spans="1:10" ht="13.15" customHeight="1" x14ac:dyDescent="0.2">
      <c r="A139" s="14" t="s">
        <v>347</v>
      </c>
      <c r="B139" s="15" t="s">
        <v>348</v>
      </c>
      <c r="C139" s="12" t="s">
        <v>346</v>
      </c>
      <c r="D139" s="17">
        <v>-165750</v>
      </c>
      <c r="E139" s="17">
        <v>-1673.91</v>
      </c>
      <c r="F139" s="18">
        <v>-4.8999999999999998E-3</v>
      </c>
      <c r="G139" s="13"/>
      <c r="H139" s="1"/>
    </row>
    <row r="140" spans="1:10" ht="13.15" customHeight="1" x14ac:dyDescent="0.2">
      <c r="A140" s="14" t="s">
        <v>349</v>
      </c>
      <c r="B140" s="15" t="s">
        <v>350</v>
      </c>
      <c r="C140" s="12" t="s">
        <v>346</v>
      </c>
      <c r="D140" s="17">
        <v>-45600</v>
      </c>
      <c r="E140" s="17">
        <v>-845.42</v>
      </c>
      <c r="F140" s="18">
        <v>-2.5000000000000001E-3</v>
      </c>
      <c r="G140" s="13"/>
      <c r="H140" s="1"/>
    </row>
    <row r="141" spans="1:10" ht="13.15" customHeight="1" x14ac:dyDescent="0.2">
      <c r="A141" s="14" t="s">
        <v>351</v>
      </c>
      <c r="B141" s="15" t="s">
        <v>352</v>
      </c>
      <c r="C141" s="12" t="s">
        <v>346</v>
      </c>
      <c r="D141" s="17">
        <v>-13125</v>
      </c>
      <c r="E141" s="17">
        <v>-611.28</v>
      </c>
      <c r="F141" s="18">
        <v>-1.8E-3</v>
      </c>
      <c r="G141" s="13"/>
      <c r="H141" s="1"/>
    </row>
    <row r="142" spans="1:10" ht="13.15" customHeight="1" x14ac:dyDescent="0.2">
      <c r="A142" s="14" t="s">
        <v>353</v>
      </c>
      <c r="B142" s="15" t="s">
        <v>354</v>
      </c>
      <c r="C142" s="12" t="s">
        <v>346</v>
      </c>
      <c r="D142" s="17">
        <v>-45600</v>
      </c>
      <c r="E142" s="17">
        <v>-193.89</v>
      </c>
      <c r="F142" s="18">
        <v>-5.9999999999999995E-4</v>
      </c>
      <c r="G142" s="13"/>
      <c r="H142" s="1"/>
    </row>
    <row r="143" spans="1:10" ht="13.15" customHeight="1" x14ac:dyDescent="0.2">
      <c r="A143" s="14" t="s">
        <v>355</v>
      </c>
      <c r="B143" s="15" t="s">
        <v>356</v>
      </c>
      <c r="C143" s="12" t="s">
        <v>346</v>
      </c>
      <c r="D143" s="17">
        <v>-1050</v>
      </c>
      <c r="E143" s="17">
        <v>-46.31</v>
      </c>
      <c r="F143" s="18">
        <v>-1E-4</v>
      </c>
      <c r="G143" s="13"/>
      <c r="H143" s="1"/>
    </row>
    <row r="144" spans="1:10" ht="13.15" customHeight="1" x14ac:dyDescent="0.2">
      <c r="A144" s="1"/>
      <c r="B144" s="19" t="s">
        <v>42</v>
      </c>
      <c r="C144" s="20"/>
      <c r="D144" s="20"/>
      <c r="E144" s="21">
        <v>-5034.66</v>
      </c>
      <c r="F144" s="22">
        <v>-1.4800000000000001E-2</v>
      </c>
      <c r="G144" s="23"/>
      <c r="H144" s="1"/>
    </row>
    <row r="145" spans="1:8" ht="13.15" customHeight="1" x14ac:dyDescent="0.2">
      <c r="A145" s="1"/>
      <c r="B145" s="19" t="s">
        <v>80</v>
      </c>
      <c r="C145" s="24"/>
      <c r="D145" s="24"/>
      <c r="E145" s="21">
        <v>-5034.66</v>
      </c>
      <c r="F145" s="22">
        <v>-1.4800000000000001E-2</v>
      </c>
      <c r="G145" s="23"/>
      <c r="H145" s="1"/>
    </row>
    <row r="147" spans="1:8" x14ac:dyDescent="0.2">
      <c r="B147" s="3" t="s">
        <v>357</v>
      </c>
    </row>
    <row r="148" spans="1:8" x14ac:dyDescent="0.2">
      <c r="B148" s="3" t="s">
        <v>358</v>
      </c>
    </row>
    <row r="149" spans="1:8" x14ac:dyDescent="0.2">
      <c r="B149" s="3" t="s">
        <v>359</v>
      </c>
    </row>
    <row r="150" spans="1:8" x14ac:dyDescent="0.2">
      <c r="B150" s="3" t="s">
        <v>360</v>
      </c>
    </row>
    <row r="152" spans="1:8" x14ac:dyDescent="0.2">
      <c r="B152" s="35" t="s">
        <v>361</v>
      </c>
      <c r="C152" s="36"/>
      <c r="D152" s="37"/>
      <c r="E152" s="38"/>
      <c r="F152" s="39"/>
      <c r="G152" s="40"/>
    </row>
    <row r="153" spans="1:8" x14ac:dyDescent="0.2">
      <c r="B153" s="41" t="s">
        <v>362</v>
      </c>
      <c r="C153" s="41"/>
      <c r="D153" s="42"/>
      <c r="E153" s="42"/>
      <c r="F153" s="41"/>
      <c r="G153" s="43"/>
    </row>
    <row r="154" spans="1:8" ht="36" x14ac:dyDescent="0.2">
      <c r="B154" s="41" t="s">
        <v>363</v>
      </c>
      <c r="C154" s="41" t="s">
        <v>364</v>
      </c>
      <c r="D154" s="44" t="s">
        <v>365</v>
      </c>
      <c r="E154" s="44" t="s">
        <v>365</v>
      </c>
      <c r="F154" s="44" t="s">
        <v>366</v>
      </c>
      <c r="G154" s="43"/>
    </row>
    <row r="155" spans="1:8" x14ac:dyDescent="0.2">
      <c r="B155" s="41"/>
      <c r="C155" s="41"/>
      <c r="D155" s="44" t="s">
        <v>367</v>
      </c>
      <c r="E155" s="44" t="s">
        <v>368</v>
      </c>
      <c r="F155" s="44" t="s">
        <v>367</v>
      </c>
      <c r="G155" s="43"/>
    </row>
    <row r="156" spans="1:8" x14ac:dyDescent="0.2">
      <c r="B156" s="41" t="s">
        <v>79</v>
      </c>
      <c r="C156" s="41" t="s">
        <v>79</v>
      </c>
      <c r="D156" s="41" t="s">
        <v>79</v>
      </c>
      <c r="E156" s="41" t="s">
        <v>79</v>
      </c>
      <c r="F156" s="41" t="s">
        <v>79</v>
      </c>
      <c r="G156" s="43"/>
    </row>
    <row r="157" spans="1:8" x14ac:dyDescent="0.2">
      <c r="B157" s="45"/>
      <c r="C157" s="46"/>
      <c r="D157" s="46"/>
      <c r="E157" s="46"/>
      <c r="F157" s="46"/>
      <c r="G157" s="43"/>
    </row>
    <row r="158" spans="1:8" x14ac:dyDescent="0.2">
      <c r="B158" s="45" t="s">
        <v>369</v>
      </c>
      <c r="C158" s="46"/>
      <c r="D158" s="47"/>
      <c r="E158" s="46"/>
      <c r="F158" s="46"/>
      <c r="G158" s="43"/>
    </row>
    <row r="159" spans="1:8" x14ac:dyDescent="0.2">
      <c r="B159" s="41" t="s">
        <v>370</v>
      </c>
      <c r="C159" s="48">
        <v>46188</v>
      </c>
      <c r="D159" s="48">
        <v>46203</v>
      </c>
      <c r="E159" s="49"/>
      <c r="F159" s="46"/>
      <c r="G159" s="43"/>
    </row>
    <row r="160" spans="1:8" x14ac:dyDescent="0.2">
      <c r="B160" s="50" t="s">
        <v>371</v>
      </c>
      <c r="C160" s="41"/>
      <c r="D160" s="41"/>
      <c r="E160" s="46"/>
      <c r="F160" s="46"/>
      <c r="G160" s="43"/>
    </row>
    <row r="161" spans="2:7" x14ac:dyDescent="0.2">
      <c r="B161" s="41" t="s">
        <v>372</v>
      </c>
      <c r="C161" s="51">
        <v>15.944100000000001</v>
      </c>
      <c r="D161" s="51">
        <v>16.081099999999999</v>
      </c>
      <c r="E161" s="46"/>
      <c r="F161" s="52"/>
      <c r="G161" s="43"/>
    </row>
    <row r="162" spans="2:7" x14ac:dyDescent="0.2">
      <c r="B162" s="41" t="s">
        <v>373</v>
      </c>
      <c r="C162" s="51">
        <v>10.966100000000001</v>
      </c>
      <c r="D162" s="51">
        <v>11.0069</v>
      </c>
      <c r="E162" s="46"/>
      <c r="F162" s="53"/>
      <c r="G162" s="43"/>
    </row>
    <row r="163" spans="2:7" x14ac:dyDescent="0.2">
      <c r="B163" s="50" t="s">
        <v>374</v>
      </c>
      <c r="C163" s="51"/>
      <c r="D163" s="51"/>
      <c r="E163" s="46"/>
      <c r="F163" s="52"/>
      <c r="G163" s="43"/>
    </row>
    <row r="164" spans="2:7" x14ac:dyDescent="0.2">
      <c r="B164" s="41" t="s">
        <v>375</v>
      </c>
      <c r="C164" s="51">
        <v>15.7036</v>
      </c>
      <c r="D164" s="51">
        <v>15.8363</v>
      </c>
      <c r="E164" s="46"/>
      <c r="F164" s="53"/>
      <c r="G164" s="43"/>
    </row>
    <row r="165" spans="2:7" x14ac:dyDescent="0.2">
      <c r="B165" s="41" t="s">
        <v>376</v>
      </c>
      <c r="C165" s="51">
        <v>10.722099999999999</v>
      </c>
      <c r="D165" s="51">
        <v>10.7636</v>
      </c>
      <c r="E165" s="46"/>
      <c r="F165" s="52"/>
      <c r="G165" s="43"/>
    </row>
    <row r="166" spans="2:7" x14ac:dyDescent="0.2">
      <c r="B166" s="45"/>
      <c r="C166" s="46"/>
      <c r="D166" s="46"/>
      <c r="E166" s="46"/>
      <c r="F166" s="46"/>
      <c r="G166" s="43"/>
    </row>
    <row r="167" spans="2:7" x14ac:dyDescent="0.2">
      <c r="B167" s="45" t="s">
        <v>377</v>
      </c>
      <c r="C167" s="46"/>
      <c r="D167" s="46"/>
      <c r="E167" s="46"/>
      <c r="F167" s="46"/>
      <c r="G167" s="43"/>
    </row>
    <row r="168" spans="2:7" x14ac:dyDescent="0.2">
      <c r="B168" s="54" t="s">
        <v>378</v>
      </c>
      <c r="C168" s="55" t="s">
        <v>379</v>
      </c>
      <c r="D168" s="56" t="s">
        <v>380</v>
      </c>
      <c r="E168" s="56" t="s">
        <v>381</v>
      </c>
      <c r="F168" s="57"/>
      <c r="G168" s="43"/>
    </row>
    <row r="169" spans="2:7" ht="24" x14ac:dyDescent="0.2">
      <c r="B169" s="58" t="s">
        <v>382</v>
      </c>
      <c r="C169" s="55" t="s">
        <v>383</v>
      </c>
      <c r="D169" s="59">
        <v>5.3337589999999997E-2</v>
      </c>
      <c r="E169" s="59">
        <v>5.3337589999999997E-2</v>
      </c>
      <c r="F169" s="57"/>
      <c r="G169" s="43"/>
    </row>
    <row r="170" spans="2:7" ht="24" x14ac:dyDescent="0.2">
      <c r="B170" s="58" t="s">
        <v>378</v>
      </c>
      <c r="C170" s="60" t="s">
        <v>384</v>
      </c>
      <c r="D170" s="55" t="s">
        <v>380</v>
      </c>
      <c r="E170" s="55" t="s">
        <v>381</v>
      </c>
      <c r="F170" s="57"/>
      <c r="G170" s="43"/>
    </row>
    <row r="171" spans="2:7" ht="24" x14ac:dyDescent="0.2">
      <c r="B171" s="58" t="s">
        <v>382</v>
      </c>
      <c r="C171" s="55" t="s">
        <v>385</v>
      </c>
      <c r="D171" s="59">
        <v>4.9001330000000003E-2</v>
      </c>
      <c r="E171" s="59">
        <v>4.9001330000000003E-2</v>
      </c>
      <c r="F171" s="57"/>
      <c r="G171" s="43"/>
    </row>
    <row r="172" spans="2:7" x14ac:dyDescent="0.2">
      <c r="B172" s="61"/>
      <c r="C172" s="57"/>
      <c r="D172" s="57"/>
      <c r="E172" s="57"/>
      <c r="F172" s="57"/>
      <c r="G172" s="43"/>
    </row>
    <row r="173" spans="2:7" x14ac:dyDescent="0.2">
      <c r="B173" s="45" t="s">
        <v>386</v>
      </c>
      <c r="C173" s="46"/>
      <c r="D173" s="46"/>
      <c r="E173" s="46"/>
      <c r="F173" s="46"/>
      <c r="G173" s="43"/>
    </row>
    <row r="174" spans="2:7" x14ac:dyDescent="0.2">
      <c r="B174" s="45"/>
      <c r="C174" s="46"/>
      <c r="D174" s="46"/>
      <c r="E174" s="46"/>
      <c r="F174" s="46"/>
      <c r="G174" s="43"/>
    </row>
    <row r="175" spans="2:7" x14ac:dyDescent="0.2">
      <c r="B175" s="45" t="s">
        <v>387</v>
      </c>
      <c r="C175" s="62"/>
      <c r="D175" s="62"/>
      <c r="E175" s="46"/>
      <c r="F175" s="46"/>
      <c r="G175" s="43"/>
    </row>
    <row r="176" spans="2:7" x14ac:dyDescent="0.2">
      <c r="B176" s="63" t="s">
        <v>388</v>
      </c>
      <c r="C176" s="46"/>
      <c r="D176" s="46"/>
      <c r="E176" s="46"/>
      <c r="F176" s="46"/>
      <c r="G176" s="43"/>
    </row>
    <row r="177" spans="2:7" x14ac:dyDescent="0.2">
      <c r="B177" s="63"/>
      <c r="C177" s="46"/>
      <c r="D177" s="64"/>
      <c r="E177" s="46"/>
      <c r="F177" s="46"/>
      <c r="G177" s="43"/>
    </row>
    <row r="178" spans="2:7" x14ac:dyDescent="0.2">
      <c r="B178" s="45" t="s">
        <v>389</v>
      </c>
      <c r="C178" s="46"/>
      <c r="D178" s="46"/>
      <c r="E178" s="46"/>
      <c r="F178" s="46"/>
      <c r="G178" s="43"/>
    </row>
    <row r="179" spans="2:7" x14ac:dyDescent="0.2">
      <c r="B179" s="45"/>
      <c r="C179" s="46"/>
      <c r="D179" s="46"/>
      <c r="E179" s="46"/>
      <c r="F179" s="46"/>
      <c r="G179" s="43"/>
    </row>
    <row r="180" spans="2:7" x14ac:dyDescent="0.2">
      <c r="B180" s="45" t="s">
        <v>390</v>
      </c>
      <c r="C180" s="46"/>
      <c r="D180" s="46"/>
      <c r="E180" s="46"/>
      <c r="F180" s="46"/>
      <c r="G180" s="43"/>
    </row>
    <row r="181" spans="2:7" x14ac:dyDescent="0.2">
      <c r="B181" s="45"/>
      <c r="C181" s="46"/>
      <c r="D181" s="46"/>
      <c r="E181" s="46"/>
      <c r="F181" s="46"/>
      <c r="G181" s="43"/>
    </row>
    <row r="182" spans="2:7" x14ac:dyDescent="0.2">
      <c r="B182" s="45" t="s">
        <v>391</v>
      </c>
      <c r="C182" s="46"/>
      <c r="D182" s="46"/>
      <c r="E182" s="46"/>
      <c r="F182" s="46"/>
      <c r="G182" s="43"/>
    </row>
    <row r="183" spans="2:7" x14ac:dyDescent="0.2">
      <c r="B183" s="45"/>
      <c r="C183" s="46"/>
      <c r="D183" s="46"/>
      <c r="E183" s="46"/>
      <c r="F183" s="46"/>
      <c r="G183" s="43"/>
    </row>
    <row r="184" spans="2:7" x14ac:dyDescent="0.2">
      <c r="B184" s="45" t="s">
        <v>392</v>
      </c>
      <c r="C184" s="46"/>
      <c r="D184" s="46"/>
      <c r="E184" s="46"/>
      <c r="F184" s="46"/>
      <c r="G184" s="43"/>
    </row>
    <row r="185" spans="2:7" x14ac:dyDescent="0.2">
      <c r="B185" s="45"/>
      <c r="C185" s="46"/>
      <c r="D185" s="46"/>
      <c r="E185" s="46"/>
      <c r="F185" s="46"/>
      <c r="G185" s="43"/>
    </row>
    <row r="186" spans="2:7" x14ac:dyDescent="0.2">
      <c r="B186" s="65" t="s">
        <v>393</v>
      </c>
      <c r="C186" s="46"/>
      <c r="D186" s="46"/>
      <c r="E186" s="46"/>
      <c r="F186" s="46"/>
      <c r="G186" s="43"/>
    </row>
    <row r="187" spans="2:7" x14ac:dyDescent="0.2">
      <c r="B187" s="65"/>
      <c r="C187" s="46"/>
      <c r="D187" s="46"/>
      <c r="E187" s="46"/>
      <c r="F187" s="46"/>
      <c r="G187" s="43"/>
    </row>
    <row r="188" spans="2:7" x14ac:dyDescent="0.2">
      <c r="B188" s="65" t="s">
        <v>394</v>
      </c>
      <c r="C188" s="46"/>
      <c r="D188" s="46"/>
      <c r="E188" s="46"/>
      <c r="F188" s="46"/>
      <c r="G188" s="43"/>
    </row>
    <row r="189" spans="2:7" x14ac:dyDescent="0.2">
      <c r="B189" s="45"/>
      <c r="C189" s="46"/>
      <c r="D189" s="46"/>
      <c r="E189" s="46"/>
      <c r="F189" s="46"/>
      <c r="G189" s="43"/>
    </row>
    <row r="190" spans="2:7" x14ac:dyDescent="0.2">
      <c r="B190" s="45" t="s">
        <v>395</v>
      </c>
      <c r="C190" s="46"/>
      <c r="D190" s="46"/>
      <c r="E190" s="46"/>
      <c r="F190" s="46"/>
      <c r="G190" s="43"/>
    </row>
    <row r="191" spans="2:7" x14ac:dyDescent="0.2">
      <c r="B191" s="41" t="s">
        <v>396</v>
      </c>
      <c r="C191" s="66">
        <f>+G117*100</f>
        <v>0.15</v>
      </c>
      <c r="D191" s="46"/>
      <c r="F191" s="67"/>
      <c r="G191" s="43"/>
    </row>
    <row r="192" spans="2:7" x14ac:dyDescent="0.2">
      <c r="B192" s="41" t="s">
        <v>397</v>
      </c>
      <c r="C192" s="66">
        <f>+SUMIF(D32:D112,"Sovereign",G32:G112)*100</f>
        <v>56.739999999999945</v>
      </c>
      <c r="D192" s="46"/>
      <c r="F192" s="68"/>
      <c r="G192" s="43"/>
    </row>
    <row r="193" spans="2:8" x14ac:dyDescent="0.2">
      <c r="B193" s="41" t="s">
        <v>398</v>
      </c>
      <c r="C193" s="66">
        <v>0</v>
      </c>
      <c r="D193" s="46"/>
      <c r="F193" s="68"/>
      <c r="G193" s="43"/>
    </row>
    <row r="194" spans="2:8" x14ac:dyDescent="0.2">
      <c r="B194" s="41" t="s">
        <v>399</v>
      </c>
      <c r="C194" s="66">
        <f>+G31*100</f>
        <v>22.05</v>
      </c>
      <c r="D194" s="46"/>
      <c r="F194" s="69"/>
      <c r="G194" s="43"/>
    </row>
    <row r="195" spans="2:8" x14ac:dyDescent="0.2">
      <c r="B195" s="41" t="s">
        <v>400</v>
      </c>
      <c r="C195" s="70">
        <f>+G111*100-C192</f>
        <v>16.620000000000054</v>
      </c>
      <c r="D195" s="46"/>
      <c r="F195" s="69"/>
      <c r="G195" s="43"/>
    </row>
    <row r="196" spans="2:8" x14ac:dyDescent="0.2">
      <c r="B196" s="41" t="s">
        <v>401</v>
      </c>
      <c r="C196" s="70">
        <f>100-SUM(C191:C195)</f>
        <v>4.4399999999999977</v>
      </c>
      <c r="D196" s="46"/>
      <c r="F196" s="69"/>
      <c r="G196" s="43"/>
    </row>
    <row r="197" spans="2:8" x14ac:dyDescent="0.2">
      <c r="B197" s="45"/>
      <c r="C197" s="46"/>
      <c r="D197" s="46"/>
      <c r="E197" s="46"/>
      <c r="F197" s="46"/>
      <c r="G197" s="43"/>
    </row>
    <row r="198" spans="2:8" x14ac:dyDescent="0.2">
      <c r="B198" s="45" t="s">
        <v>402</v>
      </c>
      <c r="C198" s="46"/>
      <c r="D198" s="46"/>
      <c r="E198" s="46"/>
      <c r="F198" s="46"/>
      <c r="G198" s="43"/>
    </row>
    <row r="199" spans="2:8" x14ac:dyDescent="0.2">
      <c r="B199" s="41" t="s">
        <v>403</v>
      </c>
      <c r="C199" s="71">
        <f>+C192+C191</f>
        <v>56.889999999999944</v>
      </c>
      <c r="D199" s="72"/>
      <c r="F199" s="69"/>
      <c r="G199" s="43"/>
    </row>
    <row r="200" spans="2:8" x14ac:dyDescent="0.2">
      <c r="B200" s="41" t="s">
        <v>404</v>
      </c>
      <c r="C200" s="71">
        <f>+C195</f>
        <v>16.620000000000054</v>
      </c>
      <c r="D200" s="72"/>
      <c r="F200" s="69"/>
      <c r="G200" s="43"/>
    </row>
    <row r="201" spans="2:8" x14ac:dyDescent="0.2">
      <c r="B201" s="41" t="s">
        <v>405</v>
      </c>
      <c r="C201" s="71">
        <f>+C194</f>
        <v>22.05</v>
      </c>
      <c r="D201" s="72"/>
      <c r="F201" s="69"/>
      <c r="G201" s="43"/>
    </row>
    <row r="202" spans="2:8" x14ac:dyDescent="0.2">
      <c r="B202" s="41" t="s">
        <v>406</v>
      </c>
      <c r="C202" s="73">
        <f>+C193</f>
        <v>0</v>
      </c>
      <c r="D202" s="72"/>
      <c r="F202" s="69"/>
      <c r="G202" s="43"/>
    </row>
    <row r="203" spans="2:8" x14ac:dyDescent="0.2">
      <c r="B203" s="41" t="s">
        <v>407</v>
      </c>
      <c r="C203" s="71">
        <f>+C196</f>
        <v>4.4399999999999977</v>
      </c>
      <c r="D203" s="72"/>
      <c r="F203" s="69"/>
      <c r="G203" s="43"/>
    </row>
    <row r="204" spans="2:8" x14ac:dyDescent="0.2">
      <c r="B204" s="45"/>
      <c r="C204" s="72"/>
      <c r="D204" s="72"/>
      <c r="E204" s="72"/>
      <c r="F204" s="74"/>
      <c r="G204" s="43"/>
    </row>
    <row r="205" spans="2:8" x14ac:dyDescent="0.2">
      <c r="B205" s="45" t="s">
        <v>408</v>
      </c>
      <c r="C205" s="72"/>
      <c r="D205" s="72"/>
      <c r="E205" s="72"/>
      <c r="F205" s="75"/>
      <c r="G205" s="43"/>
    </row>
    <row r="206" spans="2:8" x14ac:dyDescent="0.2">
      <c r="B206" s="76"/>
      <c r="C206" s="77"/>
      <c r="D206" s="77"/>
      <c r="E206" s="77"/>
      <c r="F206" s="77"/>
      <c r="G206" s="43"/>
    </row>
    <row r="207" spans="2:8" x14ac:dyDescent="0.2">
      <c r="B207" s="45" t="s">
        <v>409</v>
      </c>
      <c r="C207" s="72"/>
      <c r="D207" s="72"/>
      <c r="E207" s="72"/>
      <c r="F207" s="75"/>
      <c r="G207" s="78"/>
      <c r="H207" s="79"/>
    </row>
    <row r="208" spans="2:8" x14ac:dyDescent="0.2">
      <c r="B208" s="45"/>
      <c r="C208" s="72"/>
      <c r="D208" s="72"/>
      <c r="E208" s="72"/>
      <c r="F208" s="75"/>
      <c r="G208" s="78"/>
      <c r="H208" s="79"/>
    </row>
    <row r="209" spans="2:8" x14ac:dyDescent="0.2">
      <c r="B209" s="80" t="s">
        <v>410</v>
      </c>
      <c r="C209" s="72"/>
      <c r="D209" s="72"/>
      <c r="E209" s="72"/>
      <c r="F209" s="81"/>
      <c r="G209" s="78"/>
      <c r="H209" s="79"/>
    </row>
    <row r="210" spans="2:8" ht="36" x14ac:dyDescent="0.2">
      <c r="B210" s="82" t="s">
        <v>411</v>
      </c>
      <c r="C210" s="82" t="s">
        <v>412</v>
      </c>
      <c r="D210" s="82" t="s">
        <v>413</v>
      </c>
      <c r="E210" s="82" t="s">
        <v>414</v>
      </c>
      <c r="F210" s="82" t="s">
        <v>415</v>
      </c>
      <c r="G210" s="83" t="s">
        <v>416</v>
      </c>
      <c r="H210" s="79"/>
    </row>
    <row r="211" spans="2:8" x14ac:dyDescent="0.2">
      <c r="B211" s="84" t="s">
        <v>49</v>
      </c>
      <c r="C211" s="85" t="s">
        <v>417</v>
      </c>
      <c r="D211" s="86" t="s">
        <v>418</v>
      </c>
      <c r="E211" s="66">
        <v>977.26059999999995</v>
      </c>
      <c r="F211" s="66">
        <v>1009.9</v>
      </c>
      <c r="G211" s="87">
        <v>1087.2609276000001</v>
      </c>
      <c r="H211" s="79"/>
    </row>
    <row r="212" spans="2:8" x14ac:dyDescent="0.2">
      <c r="B212" s="84" t="s">
        <v>52</v>
      </c>
      <c r="C212" s="85" t="s">
        <v>419</v>
      </c>
      <c r="D212" s="86" t="s">
        <v>418</v>
      </c>
      <c r="E212" s="66">
        <v>1883.5614</v>
      </c>
      <c r="F212" s="66">
        <v>1854</v>
      </c>
      <c r="G212" s="87"/>
      <c r="H212" s="79"/>
    </row>
    <row r="213" spans="2:8" x14ac:dyDescent="0.2">
      <c r="B213" s="84" t="s">
        <v>55</v>
      </c>
      <c r="C213" s="85" t="s">
        <v>417</v>
      </c>
      <c r="D213" s="86" t="s">
        <v>418</v>
      </c>
      <c r="E213" s="66">
        <v>427.89210526315787</v>
      </c>
      <c r="F213" s="66">
        <v>425.2</v>
      </c>
      <c r="G213" s="87"/>
      <c r="H213" s="79"/>
    </row>
    <row r="214" spans="2:8" x14ac:dyDescent="0.2">
      <c r="B214" s="84" t="s">
        <v>59</v>
      </c>
      <c r="C214" s="85" t="s">
        <v>417</v>
      </c>
      <c r="D214" s="86" t="s">
        <v>418</v>
      </c>
      <c r="E214" s="66">
        <v>4497.8141999999998</v>
      </c>
      <c r="F214" s="66">
        <v>4410.7</v>
      </c>
      <c r="G214" s="87"/>
      <c r="H214" s="79"/>
    </row>
    <row r="215" spans="2:8" x14ac:dyDescent="0.2">
      <c r="B215" s="84" t="s">
        <v>45</v>
      </c>
      <c r="C215" s="85" t="s">
        <v>417</v>
      </c>
      <c r="D215" s="86" t="s">
        <v>418</v>
      </c>
      <c r="E215" s="66">
        <v>1429.1184999783409</v>
      </c>
      <c r="F215" s="66">
        <v>1441.5</v>
      </c>
      <c r="G215" s="87"/>
      <c r="H215" s="79"/>
    </row>
    <row r="216" spans="2:8" x14ac:dyDescent="0.2">
      <c r="B216" s="84" t="s">
        <v>420</v>
      </c>
      <c r="C216" s="85" t="s">
        <v>417</v>
      </c>
      <c r="D216" s="86" t="s">
        <v>418</v>
      </c>
      <c r="E216" s="66">
        <v>4454.5456998095242</v>
      </c>
      <c r="F216" s="66">
        <v>4657.3999999999996</v>
      </c>
      <c r="G216" s="87"/>
      <c r="H216" s="79"/>
    </row>
    <row r="217" spans="2:8" x14ac:dyDescent="0.2">
      <c r="B217" s="84"/>
      <c r="C217" s="85"/>
      <c r="D217" s="86"/>
      <c r="E217" s="66"/>
      <c r="F217" s="66"/>
      <c r="G217" s="87"/>
      <c r="H217" s="79"/>
    </row>
    <row r="218" spans="2:8" x14ac:dyDescent="0.2">
      <c r="B218" s="63" t="s">
        <v>421</v>
      </c>
      <c r="C218" s="46"/>
      <c r="D218" s="46"/>
      <c r="E218" s="88"/>
      <c r="F218" s="88"/>
      <c r="G218" s="89"/>
      <c r="H218" s="79"/>
    </row>
    <row r="219" spans="2:8" x14ac:dyDescent="0.2">
      <c r="B219" s="63"/>
      <c r="C219" s="46"/>
      <c r="D219" s="46"/>
      <c r="E219" s="88"/>
      <c r="F219" s="88"/>
      <c r="G219" s="89"/>
      <c r="H219" s="79"/>
    </row>
    <row r="220" spans="2:8" x14ac:dyDescent="0.2">
      <c r="B220" s="90" t="s">
        <v>422</v>
      </c>
      <c r="C220" s="91"/>
      <c r="D220" s="92"/>
      <c r="E220" s="57"/>
      <c r="F220" s="57"/>
      <c r="G220" s="93"/>
      <c r="H220" s="94"/>
    </row>
    <row r="221" spans="2:8" x14ac:dyDescent="0.2">
      <c r="B221" s="90"/>
      <c r="C221" s="91"/>
      <c r="D221" s="92"/>
      <c r="E221" s="57"/>
      <c r="F221" s="57"/>
      <c r="G221" s="95"/>
      <c r="H221" s="94"/>
    </row>
    <row r="222" spans="2:8" x14ac:dyDescent="0.2">
      <c r="B222" s="59" t="s">
        <v>423</v>
      </c>
      <c r="C222" s="59"/>
      <c r="D222" s="57"/>
      <c r="E222" s="57"/>
      <c r="F222" s="57"/>
      <c r="G222" s="43"/>
      <c r="H222" s="94"/>
    </row>
    <row r="223" spans="2:8" x14ac:dyDescent="0.2">
      <c r="B223" s="59" t="s">
        <v>424</v>
      </c>
      <c r="C223" s="96">
        <v>674</v>
      </c>
      <c r="D223" s="57"/>
      <c r="F223" s="97"/>
      <c r="G223" s="89"/>
      <c r="H223" s="94"/>
    </row>
    <row r="224" spans="2:8" x14ac:dyDescent="0.2">
      <c r="B224" s="59" t="s">
        <v>425</v>
      </c>
      <c r="C224" s="96">
        <v>674</v>
      </c>
      <c r="D224" s="57"/>
      <c r="F224" s="97"/>
      <c r="G224" s="89"/>
      <c r="H224" s="94"/>
    </row>
    <row r="225" spans="2:8" x14ac:dyDescent="0.2">
      <c r="B225" s="59" t="s">
        <v>426</v>
      </c>
      <c r="C225" s="96">
        <v>0</v>
      </c>
      <c r="D225" s="57"/>
      <c r="F225" s="97"/>
      <c r="G225" s="89"/>
      <c r="H225" s="94"/>
    </row>
    <row r="226" spans="2:8" x14ac:dyDescent="0.2">
      <c r="B226" s="59" t="s">
        <v>427</v>
      </c>
      <c r="C226" s="96">
        <v>0</v>
      </c>
      <c r="D226" s="57"/>
      <c r="F226" s="97"/>
      <c r="G226" s="89"/>
      <c r="H226" s="94"/>
    </row>
    <row r="227" spans="2:8" x14ac:dyDescent="0.2">
      <c r="B227" s="59" t="s">
        <v>428</v>
      </c>
      <c r="C227" s="96">
        <v>441638254.09000003</v>
      </c>
      <c r="D227" s="57"/>
      <c r="F227" s="97"/>
      <c r="G227" s="89"/>
      <c r="H227" s="94"/>
    </row>
    <row r="228" spans="2:8" x14ac:dyDescent="0.2">
      <c r="B228" s="59" t="s">
        <v>429</v>
      </c>
      <c r="C228" s="96">
        <v>418077442.65999997</v>
      </c>
      <c r="D228" s="57"/>
      <c r="F228" s="97"/>
      <c r="G228" s="89"/>
      <c r="H228" s="94"/>
    </row>
    <row r="229" spans="2:8" x14ac:dyDescent="0.2">
      <c r="B229" s="59" t="s">
        <v>430</v>
      </c>
      <c r="C229" s="96">
        <v>0</v>
      </c>
      <c r="D229" s="57"/>
      <c r="F229" s="97"/>
      <c r="G229" s="98"/>
      <c r="H229" s="94"/>
    </row>
    <row r="230" spans="2:8" x14ac:dyDescent="0.2">
      <c r="B230" s="59" t="s">
        <v>431</v>
      </c>
      <c r="C230" s="96">
        <v>-23560811.4300001</v>
      </c>
      <c r="D230" s="57"/>
      <c r="F230" s="97"/>
      <c r="G230" s="99"/>
      <c r="H230" s="94"/>
    </row>
    <row r="231" spans="2:8" x14ac:dyDescent="0.2">
      <c r="B231" s="100"/>
      <c r="C231" s="57"/>
      <c r="D231" s="57"/>
      <c r="E231" s="101"/>
      <c r="F231" s="97"/>
      <c r="G231" s="99"/>
      <c r="H231" s="94"/>
    </row>
    <row r="232" spans="2:8" x14ac:dyDescent="0.2">
      <c r="B232" s="102" t="s">
        <v>432</v>
      </c>
      <c r="C232" s="103"/>
      <c r="D232" s="103"/>
      <c r="E232" s="88"/>
      <c r="F232" s="97"/>
      <c r="G232" s="89"/>
      <c r="H232" s="94"/>
    </row>
    <row r="233" spans="2:8" x14ac:dyDescent="0.2">
      <c r="B233" s="63"/>
      <c r="C233" s="46"/>
      <c r="D233" s="46"/>
      <c r="E233" s="88"/>
      <c r="F233" s="88"/>
      <c r="G233" s="89"/>
      <c r="H233" s="79"/>
    </row>
    <row r="234" spans="2:8" x14ac:dyDescent="0.2">
      <c r="B234" s="104" t="s">
        <v>433</v>
      </c>
      <c r="C234" s="105"/>
      <c r="D234" s="105"/>
      <c r="E234" s="46"/>
      <c r="F234" s="46"/>
      <c r="G234" s="106"/>
      <c r="H234" s="79"/>
    </row>
    <row r="235" spans="2:8" x14ac:dyDescent="0.2">
      <c r="B235" s="63"/>
      <c r="C235" s="107"/>
      <c r="D235" s="72"/>
      <c r="E235" s="68"/>
      <c r="F235" s="68"/>
      <c r="G235" s="108"/>
      <c r="H235" s="79"/>
    </row>
    <row r="236" spans="2:8" x14ac:dyDescent="0.2">
      <c r="B236" s="90" t="s">
        <v>434</v>
      </c>
      <c r="C236" s="91"/>
      <c r="D236" s="92"/>
      <c r="E236" s="57"/>
      <c r="F236" s="57"/>
      <c r="G236" s="95"/>
      <c r="H236" s="94"/>
    </row>
    <row r="237" spans="2:8" x14ac:dyDescent="0.2">
      <c r="B237" s="45"/>
      <c r="C237" s="46"/>
      <c r="D237" s="46"/>
      <c r="E237" s="46"/>
      <c r="F237" s="109"/>
      <c r="G237" s="110"/>
      <c r="H237" s="79"/>
    </row>
    <row r="238" spans="2:8" x14ac:dyDescent="0.2">
      <c r="B238" s="104" t="s">
        <v>435</v>
      </c>
      <c r="C238" s="105"/>
      <c r="D238" s="105"/>
      <c r="E238" s="46"/>
      <c r="F238" s="111"/>
      <c r="G238" s="110"/>
      <c r="H238" s="79"/>
    </row>
    <row r="239" spans="2:8" x14ac:dyDescent="0.2">
      <c r="B239" s="102"/>
      <c r="C239" s="103"/>
      <c r="D239" s="103"/>
      <c r="E239" s="46"/>
      <c r="F239" s="46"/>
      <c r="G239" s="106"/>
      <c r="H239" s="79"/>
    </row>
    <row r="240" spans="2:8" x14ac:dyDescent="0.2">
      <c r="B240" s="104" t="s">
        <v>436</v>
      </c>
      <c r="C240" s="105"/>
      <c r="D240" s="105"/>
      <c r="E240" s="46"/>
      <c r="F240" s="111"/>
      <c r="G240" s="106"/>
      <c r="H240" s="79"/>
    </row>
    <row r="241" spans="2:8" x14ac:dyDescent="0.2">
      <c r="B241" s="45"/>
      <c r="C241" s="46"/>
      <c r="D241" s="46"/>
      <c r="E241" s="46"/>
      <c r="F241" s="46"/>
      <c r="G241" s="106"/>
      <c r="H241" s="79"/>
    </row>
    <row r="242" spans="2:8" x14ac:dyDescent="0.2">
      <c r="B242" s="104" t="s">
        <v>437</v>
      </c>
      <c r="C242" s="105"/>
      <c r="D242" s="105"/>
      <c r="E242" s="46"/>
      <c r="F242" s="46"/>
      <c r="G242" s="106"/>
      <c r="H242" s="79"/>
    </row>
    <row r="243" spans="2:8" x14ac:dyDescent="0.2">
      <c r="B243" s="59" t="s">
        <v>438</v>
      </c>
      <c r="C243" s="112">
        <v>519</v>
      </c>
      <c r="D243" s="57"/>
      <c r="F243" s="97"/>
      <c r="G243" s="99"/>
      <c r="H243" s="94"/>
    </row>
    <row r="244" spans="2:8" x14ac:dyDescent="0.2">
      <c r="B244" s="59" t="s">
        <v>439</v>
      </c>
      <c r="C244" s="112">
        <v>317680500</v>
      </c>
      <c r="D244" s="57"/>
      <c r="F244" s="97"/>
      <c r="G244" s="99"/>
      <c r="H244" s="94"/>
    </row>
    <row r="245" spans="2:8" x14ac:dyDescent="0.2">
      <c r="B245" s="59" t="s">
        <v>440</v>
      </c>
      <c r="C245" s="112">
        <v>2456372.6399999997</v>
      </c>
      <c r="D245" s="57"/>
      <c r="F245" s="97"/>
      <c r="G245" s="99"/>
      <c r="H245" s="94"/>
    </row>
    <row r="246" spans="2:8" x14ac:dyDescent="0.2">
      <c r="B246" s="45"/>
      <c r="C246" s="46"/>
      <c r="D246" s="46"/>
      <c r="E246" s="46"/>
      <c r="F246" s="46"/>
      <c r="G246" s="106"/>
      <c r="H246" s="79"/>
    </row>
    <row r="247" spans="2:8" x14ac:dyDescent="0.2">
      <c r="B247" s="45" t="s">
        <v>441</v>
      </c>
      <c r="C247" s="46"/>
      <c r="D247" s="46"/>
      <c r="E247" s="46"/>
      <c r="F247" s="46"/>
      <c r="G247" s="106"/>
      <c r="H247" s="79"/>
    </row>
    <row r="248" spans="2:8" x14ac:dyDescent="0.2">
      <c r="B248" s="113"/>
      <c r="C248" s="114"/>
      <c r="D248" s="114"/>
      <c r="E248" s="114"/>
      <c r="F248" s="114"/>
      <c r="G248" s="115"/>
      <c r="H248" s="79"/>
    </row>
    <row r="250" spans="2:8" x14ac:dyDescent="0.2">
      <c r="B250" s="116" t="s">
        <v>442</v>
      </c>
      <c r="C250" s="117"/>
    </row>
    <row r="251" spans="2:8" x14ac:dyDescent="0.2">
      <c r="B251" s="118" t="s">
        <v>443</v>
      </c>
      <c r="C251" s="119">
        <v>4.7480936747355074</v>
      </c>
    </row>
    <row r="252" spans="2:8" x14ac:dyDescent="0.2">
      <c r="B252" s="118" t="s">
        <v>444</v>
      </c>
      <c r="C252" s="120">
        <v>3.7835994202562135</v>
      </c>
    </row>
    <row r="253" spans="2:8" x14ac:dyDescent="0.2">
      <c r="B253" s="118" t="s">
        <v>445</v>
      </c>
      <c r="C253" s="120">
        <v>3.9348204706739516</v>
      </c>
    </row>
    <row r="254" spans="2:8" x14ac:dyDescent="0.2">
      <c r="B254" s="118" t="s">
        <v>446</v>
      </c>
      <c r="C254" s="121">
        <v>7.186923343564311E-2</v>
      </c>
    </row>
    <row r="256" spans="2:8" x14ac:dyDescent="0.2">
      <c r="B256" s="122" t="s">
        <v>447</v>
      </c>
      <c r="C256" s="123"/>
      <c r="D256" s="122"/>
      <c r="E256" s="122"/>
    </row>
    <row r="257" spans="2:5" x14ac:dyDescent="0.2">
      <c r="B257" s="122" t="s">
        <v>448</v>
      </c>
      <c r="C257" s="123"/>
      <c r="D257" s="122"/>
      <c r="E257" s="122"/>
    </row>
    <row r="259" spans="2:5" x14ac:dyDescent="0.2">
      <c r="B259" s="124" t="s">
        <v>449</v>
      </c>
    </row>
    <row r="260" spans="2:5" x14ac:dyDescent="0.2">
      <c r="B260" s="3" t="s">
        <v>450</v>
      </c>
    </row>
    <row r="261" spans="2:5" x14ac:dyDescent="0.2">
      <c r="B261" s="3" t="s">
        <v>451</v>
      </c>
    </row>
    <row r="262" spans="2:5" x14ac:dyDescent="0.2">
      <c r="B262" s="3" t="s">
        <v>452</v>
      </c>
    </row>
    <row r="263" spans="2:5" x14ac:dyDescent="0.2">
      <c r="B263" s="124"/>
    </row>
    <row r="264" spans="2:5" x14ac:dyDescent="0.2">
      <c r="C264" s="124" t="s">
        <v>453</v>
      </c>
      <c r="D264" s="124"/>
      <c r="E264" s="124"/>
    </row>
    <row r="265" spans="2:5" x14ac:dyDescent="0.2">
      <c r="B265" s="125" t="s">
        <v>454</v>
      </c>
      <c r="C265" s="126" t="s">
        <v>455</v>
      </c>
      <c r="D265" s="126"/>
      <c r="E265" s="126"/>
    </row>
    <row r="274" spans="2:2" x14ac:dyDescent="0.2">
      <c r="B274" s="124"/>
    </row>
  </sheetData>
  <mergeCells count="2">
    <mergeCell ref="G211:G217"/>
    <mergeCell ref="C265:E265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PPCHF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 Fanse</dc:creator>
  <cp:lastModifiedBy>Lav Fanse</cp:lastModifiedBy>
  <dcterms:created xsi:type="dcterms:W3CDTF">2026-07-03T09:05:17Z</dcterms:created>
  <dcterms:modified xsi:type="dcterms:W3CDTF">2026-07-03T09:05:40Z</dcterms:modified>
</cp:coreProperties>
</file>