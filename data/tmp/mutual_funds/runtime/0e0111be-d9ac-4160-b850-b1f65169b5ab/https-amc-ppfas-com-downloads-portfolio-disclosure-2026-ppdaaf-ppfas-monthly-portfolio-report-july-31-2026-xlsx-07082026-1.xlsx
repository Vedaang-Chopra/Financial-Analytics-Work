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AMC\RAJU_from 20032020\Fact Sheet\2026-27\July 2026\Monthly\Final\"/>
    </mc:Choice>
  </mc:AlternateContent>
  <xr:revisionPtr revIDLastSave="0" documentId="8_{38B4465A-2094-4133-A323-DF2AFBDFE14D}" xr6:coauthVersionLast="47" xr6:coauthVersionMax="47" xr10:uidLastSave="{00000000-0000-0000-0000-000000000000}"/>
  <bookViews>
    <workbookView xWindow="-120" yWindow="-120" windowWidth="29040" windowHeight="15720" xr2:uid="{BED4E204-BCEA-4122-B7FE-CAA466C218A8}"/>
  </bookViews>
  <sheets>
    <sheet name="PPDAAF" sheetId="1" r:id="rId1"/>
  </sheets>
  <externalReferences>
    <externalReference r:id="rId2"/>
  </externalReferences>
  <definedNames>
    <definedName name="_xlnm._FilterDatabase" localSheetId="0" hidden="1">PPDAAF!$B$17:$G$39</definedName>
    <definedName name="JR_PAGE_ANCHOR_0_1">#REF!</definedName>
    <definedName name="JR_PAGE_ANCHOR_0_5">#REF!</definedName>
    <definedName name="JR_PAGE_ANCHOR_0_8">PPDAAF!$A$1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3" i="1" l="1"/>
  <c r="C195" i="1"/>
  <c r="C193" i="1"/>
  <c r="C196" i="1" s="1"/>
  <c r="C202" i="1" s="1"/>
  <c r="C192" i="1"/>
  <c r="C201" i="1" s="1"/>
  <c r="G119" i="1"/>
  <c r="F119" i="1"/>
  <c r="F44" i="1"/>
  <c r="G40" i="1"/>
  <c r="F40" i="1"/>
  <c r="G16" i="1"/>
  <c r="F16" i="1"/>
  <c r="C197" i="1" l="1"/>
  <c r="C205" i="1" s="1"/>
</calcChain>
</file>

<file path=xl/sharedStrings.xml><?xml version="1.0" encoding="utf-8"?>
<sst xmlns="http://schemas.openxmlformats.org/spreadsheetml/2006/main" count="695" uniqueCount="489">
  <si>
    <t>Parag Parikh Dynamic Asset Allocation Fund  (An open ended dynamic asset allocation fund )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</si>
  <si>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</si>
  <si>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</si>
  <si>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</si>
  <si>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</si>
  <si>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</si>
  <si>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</si>
  <si>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</si>
  <si>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</si>
  <si>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</si>
  <si>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</si>
  <si>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</si>
  <si>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</si>
  <si>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COAL01</t>
  </si>
  <si>
    <t>Coal India Limited</t>
  </si>
  <si>
    <t>INE522F01014</t>
  </si>
  <si>
    <t>Consumable Fuels</t>
  </si>
  <si>
    <t>PGCI01</t>
  </si>
  <si>
    <t>Power Grid Corporation of India Limited</t>
  </si>
  <si>
    <t>INE752E01010</t>
  </si>
  <si>
    <t>Power</t>
  </si>
  <si>
    <t>PLNG01</t>
  </si>
  <si>
    <t>Petronet LNG Limited</t>
  </si>
  <si>
    <t>INE347G01014</t>
  </si>
  <si>
    <t>Gas</t>
  </si>
  <si>
    <t>ITCL02</t>
  </si>
  <si>
    <t>ITC Limited</t>
  </si>
  <si>
    <t>INE154A01025</t>
  </si>
  <si>
    <t>Diversified FMCG</t>
  </si>
  <si>
    <t>RELC01</t>
  </si>
  <si>
    <t>REC Limited</t>
  </si>
  <si>
    <t>INE020B01018</t>
  </si>
  <si>
    <t>Finance</t>
  </si>
  <si>
    <t>SWEN01</t>
  </si>
  <si>
    <t>Swaraj Engines Limited</t>
  </si>
  <si>
    <t>INE277A01016</t>
  </si>
  <si>
    <t>Industrial Products</t>
  </si>
  <si>
    <t>NESC02</t>
  </si>
  <si>
    <t>Nesco Limited</t>
  </si>
  <si>
    <t>INE317F01035</t>
  </si>
  <si>
    <t>Commercial Services &amp; Supplies</t>
  </si>
  <si>
    <t>VSTI01</t>
  </si>
  <si>
    <t>VST Industries Limited</t>
  </si>
  <si>
    <t>INE710A01016</t>
  </si>
  <si>
    <t>Cigarettes &amp; Tobacco Products</t>
  </si>
  <si>
    <t>BINL01</t>
  </si>
  <si>
    <t>Indus Towers Limited</t>
  </si>
  <si>
    <t>INE121J01017</t>
  </si>
  <si>
    <t>Telecom - Services</t>
  </si>
  <si>
    <t>Sub Total</t>
  </si>
  <si>
    <t>Arbitrage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</si>
  <si>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</si>
  <si>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</si>
  <si>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</si>
  <si>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</si>
  <si>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</si>
  <si>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</si>
  <si>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</si>
  <si>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</si>
  <si>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BTVL02</t>
  </si>
  <si>
    <t>Bharti Airtel Limited</t>
  </si>
  <si>
    <t>INE397D01024</t>
  </si>
  <si>
    <t>NITL02</t>
  </si>
  <si>
    <t>Kotak Mahindra Bank Limited</t>
  </si>
  <si>
    <t>INE237A01036</t>
  </si>
  <si>
    <t>ZMPL01</t>
  </si>
  <si>
    <t>Coforge Limited</t>
  </si>
  <si>
    <t>INE591G01025</t>
  </si>
  <si>
    <t>IT - Software</t>
  </si>
  <si>
    <t>ULCC01</t>
  </si>
  <si>
    <t>Eternal Limited</t>
  </si>
  <si>
    <t>INE758T01015</t>
  </si>
  <si>
    <t>Retailing</t>
  </si>
  <si>
    <t>MAHI02</t>
  </si>
  <si>
    <t>UltraTech Cement Limited</t>
  </si>
  <si>
    <t>INE481G01011</t>
  </si>
  <si>
    <t>Cement &amp; Cement Products</t>
  </si>
  <si>
    <t>TISC03</t>
  </si>
  <si>
    <t>Mahindra &amp; Mahindra Limited</t>
  </si>
  <si>
    <t>INE101A01026</t>
  </si>
  <si>
    <t>Automobiles</t>
  </si>
  <si>
    <t>DLFL01</t>
  </si>
  <si>
    <t>Tata Steel Limited</t>
  </si>
  <si>
    <t>INE081A01020</t>
  </si>
  <si>
    <t>Ferrous Metals</t>
  </si>
  <si>
    <t>TWAT02</t>
  </si>
  <si>
    <t>DLF Limited</t>
  </si>
  <si>
    <t>INE271C01023</t>
  </si>
  <si>
    <t>Realty</t>
  </si>
  <si>
    <t>NMDC01</t>
  </si>
  <si>
    <t>Titan Company Limited</t>
  </si>
  <si>
    <t>INE280A01028</t>
  </si>
  <si>
    <t>Consumer Durables</t>
  </si>
  <si>
    <t>BFSL02</t>
  </si>
  <si>
    <t>NMDC Limited</t>
  </si>
  <si>
    <t>INE584A01023</t>
  </si>
  <si>
    <t>Minerals &amp; Mining</t>
  </si>
  <si>
    <t>ABFS01</t>
  </si>
  <si>
    <t>Bajaj Finserv Limited</t>
  </si>
  <si>
    <t>INE918I01026</t>
  </si>
  <si>
    <t>BHAH02</t>
  </si>
  <si>
    <t>Aditya Birla Capital Limited</t>
  </si>
  <si>
    <t>INE674K01013</t>
  </si>
  <si>
    <t>JVSL04</t>
  </si>
  <si>
    <t>Bharat Heavy Electricals Limited</t>
  </si>
  <si>
    <t>INE257A01026</t>
  </si>
  <si>
    <t>Electrical Equipment</t>
  </si>
  <si>
    <t>KOMA03</t>
  </si>
  <si>
    <t>JSW Steel Limited</t>
  </si>
  <si>
    <t>INE019A01038</t>
  </si>
  <si>
    <t>SLIF01</t>
  </si>
  <si>
    <t>SBI Life Insurance Company Limited</t>
  </si>
  <si>
    <t>INE123W01016</t>
  </si>
  <si>
    <t>Insurance</t>
  </si>
  <si>
    <t>GUAM02</t>
  </si>
  <si>
    <t>Ambuja Cements Limited</t>
  </si>
  <si>
    <t>INE079A01024</t>
  </si>
  <si>
    <t>HINI02</t>
  </si>
  <si>
    <t>Hindalco Industries Limited</t>
  </si>
  <si>
    <t>INE038A01020</t>
  </si>
  <si>
    <t>Non - Ferrous Metals</t>
  </si>
  <si>
    <t>BAND01</t>
  </si>
  <si>
    <t>Bandhan Bank Limited</t>
  </si>
  <si>
    <t>INE545U01014</t>
  </si>
  <si>
    <t>CHEL02</t>
  </si>
  <si>
    <t>Zydus Lifesciences Limited</t>
  </si>
  <si>
    <t>INE010B01027</t>
  </si>
  <si>
    <t>Pharmaceuticals &amp; Biotechnology</t>
  </si>
  <si>
    <t>RELS01</t>
  </si>
  <si>
    <t>Jio Financial Services Limited</t>
  </si>
  <si>
    <t>INE758E01017</t>
  </si>
  <si>
    <t>$0.00%</t>
  </si>
  <si>
    <t>(b) Reits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</si>
  <si>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</si>
  <si>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</si>
  <si>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</si>
  <si>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</si>
  <si>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</si>
  <si>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</si>
  <si>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Total</t>
  </si>
  <si>
    <t>Debt Instruments</t>
  </si>
  <si>
    <t>(a) Listed / awaiting listing on Stock Exchange</t>
  </si>
  <si>
    <t>GOI7327</t>
  </si>
  <si>
    <t>7.21% Tamilnadu SDL (MD 21/01/2032)</t>
  </si>
  <si>
    <t>IN3120250623</t>
  </si>
  <si>
    <t>Sovereign</t>
  </si>
  <si>
    <t>GOI7424</t>
  </si>
  <si>
    <t>7.12% Tamilnadu SDL (MD 18/02/2032)</t>
  </si>
  <si>
    <t>IN3120250722</t>
  </si>
  <si>
    <t>GOI5005</t>
  </si>
  <si>
    <t>7.72% Maharashtra SDL (MD 01/03/2031)</t>
  </si>
  <si>
    <t>IN2220220171</t>
  </si>
  <si>
    <t>EOPR46</t>
  </si>
  <si>
    <t>7.49% Embassy Off Park RE NCD Sr XVII (22/06/2029)</t>
  </si>
  <si>
    <t>INE041007217</t>
  </si>
  <si>
    <t>CRISIL AAA</t>
  </si>
  <si>
    <t>GOI4932</t>
  </si>
  <si>
    <t>7.6% Karnataka SDL (MD 04/01/2033)</t>
  </si>
  <si>
    <t>IN1920220168</t>
  </si>
  <si>
    <t>GOI4555</t>
  </si>
  <si>
    <t>7.61% Gujarat SDL (MD 03/08/2032)</t>
  </si>
  <si>
    <t>IN1520220071</t>
  </si>
  <si>
    <t>NBAR787</t>
  </si>
  <si>
    <t>7.64% NABARD Sr 25B NCD (MD 06/12/2029)</t>
  </si>
  <si>
    <t>INE261F08EJ7</t>
  </si>
  <si>
    <t>ICRA AAA</t>
  </si>
  <si>
    <t>GOI3472</t>
  </si>
  <si>
    <t>7.08% Uttar Pradesh SDL (MD 17/02/2031)</t>
  </si>
  <si>
    <t>IN3320200295</t>
  </si>
  <si>
    <t>GOI7009</t>
  </si>
  <si>
    <t>7.01% Gujarat SDL (MD 03/09/2031)</t>
  </si>
  <si>
    <t>IN1520250136</t>
  </si>
  <si>
    <t>GOI3027</t>
  </si>
  <si>
    <t>6.95% Tamilnadu SDL (MD 17/02/2031)</t>
  </si>
  <si>
    <t>IN3120200362</t>
  </si>
  <si>
    <t>BAFL974</t>
  </si>
  <si>
    <t>7.3763% Bajaj Fina NCD (MD 26/06/2028)</t>
  </si>
  <si>
    <t>INE296A07TJ4</t>
  </si>
  <si>
    <t>BAFL977</t>
  </si>
  <si>
    <t>7.38% Bajaj Finance Ltd NCD Opt II (MD 28/06/2030)</t>
  </si>
  <si>
    <t>INE296A07TL0</t>
  </si>
  <si>
    <t>GOI4815</t>
  </si>
  <si>
    <t>7.81% Gujarat SDL (MD 12/10/2032)</t>
  </si>
  <si>
    <t>IN1520220113</t>
  </si>
  <si>
    <t>GOI5368</t>
  </si>
  <si>
    <t>7.7% Karnataka SDL (MD 08/11/2033)</t>
  </si>
  <si>
    <t>IN1920230068</t>
  </si>
  <si>
    <t>GOI5429</t>
  </si>
  <si>
    <t>7.55% Gujarat SDL (MD 20/12/2031)</t>
  </si>
  <si>
    <t>IN1520230138</t>
  </si>
  <si>
    <t>GOI3253</t>
  </si>
  <si>
    <t>7.93% Uttar Pradesh SDL (MD 24/03/2030)</t>
  </si>
  <si>
    <t>IN3320190272</t>
  </si>
  <si>
    <t>GOI5023</t>
  </si>
  <si>
    <t>7.7% Maharashtra SDL (MD 08/03/2031)</t>
  </si>
  <si>
    <t>IN2220220197</t>
  </si>
  <si>
    <t>GOI5833</t>
  </si>
  <si>
    <t>7.02% GOI (MD 18/06/2031)</t>
  </si>
  <si>
    <t>IN0020240076</t>
  </si>
  <si>
    <t>GOI5195</t>
  </si>
  <si>
    <t>7.33% Maharashtra SDL (MD 31/05/2031)</t>
  </si>
  <si>
    <t>IN2220230055</t>
  </si>
  <si>
    <t>GOI5101</t>
  </si>
  <si>
    <t>7.39% Tamilnadu SDL (MD 10/05/2033)</t>
  </si>
  <si>
    <t>IN3120230021</t>
  </si>
  <si>
    <t>TCAL552</t>
  </si>
  <si>
    <t>8.15% Tata Capital Ltd NCD (MD 11/06/2029)</t>
  </si>
  <si>
    <t>INE976I07DF6</t>
  </si>
  <si>
    <t>LICH679</t>
  </si>
  <si>
    <t>7.75% LIC Housing Fin Ltd NCD Tr444 (MD23/08/29)</t>
  </si>
  <si>
    <t>INE115A07QU9</t>
  </si>
  <si>
    <t>SIDB593</t>
  </si>
  <si>
    <t>7.49% SIDBI NCD Ser VIII (MD 11/06/2029)</t>
  </si>
  <si>
    <t>INE556F08KX8</t>
  </si>
  <si>
    <t>GOI7466</t>
  </si>
  <si>
    <t>7.38% Karnataka SDL (MD 04/09/2034)</t>
  </si>
  <si>
    <t>IN1920250272</t>
  </si>
  <si>
    <t>SIDB591</t>
  </si>
  <si>
    <t>7.42% SIDBI NCD Sr VII (MD 12/03/2029)</t>
  </si>
  <si>
    <t>INE556F08KW0</t>
  </si>
  <si>
    <t>LICH684</t>
  </si>
  <si>
    <t>7.57% LIC Hsg Fin NCD Tr 447 Op I (MD 18/10/2029)</t>
  </si>
  <si>
    <t>INE115A07QY1</t>
  </si>
  <si>
    <t>GOI6535</t>
  </si>
  <si>
    <t>7.14% Madhya Pradesh SDL (MD 19/03/2032)</t>
  </si>
  <si>
    <t>IN2120240246</t>
  </si>
  <si>
    <t>NBAR803</t>
  </si>
  <si>
    <t>7.40 % NABARD NCD Sr 25D (MD 29/04/2030)</t>
  </si>
  <si>
    <t>INE261F08EL3</t>
  </si>
  <si>
    <t>GOI6690</t>
  </si>
  <si>
    <t>7.05% Madhya Pradesh SDL (MD 26/03/2032)</t>
  </si>
  <si>
    <t>IN2120240279</t>
  </si>
  <si>
    <t>LICH700</t>
  </si>
  <si>
    <t>7.07% LIC Hsg Fin Tr 455 NCD (MD 29/04/2030)</t>
  </si>
  <si>
    <t>INE115A07RG6</t>
  </si>
  <si>
    <t>GOI5052</t>
  </si>
  <si>
    <t>7.73% Maharashtra SDL (MD 29/03/2032)</t>
  </si>
  <si>
    <t>IN2220220254</t>
  </si>
  <si>
    <t>GOI3493</t>
  </si>
  <si>
    <t>6.78% Maharashtra SDL (MD 25/05/2031)</t>
  </si>
  <si>
    <t>IN2220210073</t>
  </si>
  <si>
    <t>GOI5144</t>
  </si>
  <si>
    <t>7.34% Maharashtra SDL (MD 14/06/2031)</t>
  </si>
  <si>
    <t>IN2220230071</t>
  </si>
  <si>
    <t>GOI4808</t>
  </si>
  <si>
    <t>7.76% Maharashtra SDL (MD 04/10/2030)</t>
  </si>
  <si>
    <t>IN2220220122</t>
  </si>
  <si>
    <t>GOI4811</t>
  </si>
  <si>
    <t>7.79% Rajasthan SDL (MD 04/10/2032)</t>
  </si>
  <si>
    <t>IN2920220174</t>
  </si>
  <si>
    <t>GOI4450</t>
  </si>
  <si>
    <t>7.7% Maharashtra SDL (MD 25/05/2032)</t>
  </si>
  <si>
    <t>IN2220220064</t>
  </si>
  <si>
    <t>GOI5615</t>
  </si>
  <si>
    <t>7.68% Tamilnadu SDL (MD 25/10/2030)</t>
  </si>
  <si>
    <t>IN3120230278</t>
  </si>
  <si>
    <t>GOI5601</t>
  </si>
  <si>
    <t>7.6% Tamilnadu SDL (MD 31/01/2031)</t>
  </si>
  <si>
    <t>IN3120230401</t>
  </si>
  <si>
    <t>GOI5201</t>
  </si>
  <si>
    <t>7.39% Tamilnadu SDL (MD 26/07/2033)</t>
  </si>
  <si>
    <t>IN3120230179</t>
  </si>
  <si>
    <t>GOI5811</t>
  </si>
  <si>
    <t>7.38% Tamilnadu SDL (MD 29/05/2033)</t>
  </si>
  <si>
    <t>IN3120240079</t>
  </si>
  <si>
    <t>GOI6435</t>
  </si>
  <si>
    <t>7.08% Karnataka SDL (MD 12/08/2031)</t>
  </si>
  <si>
    <t>IN1920240232</t>
  </si>
  <si>
    <t>GOI3891</t>
  </si>
  <si>
    <t>6.88% Karnataka SDL (MD 08/12/2032)</t>
  </si>
  <si>
    <t>IN1920210144</t>
  </si>
  <si>
    <t>IGIF47</t>
  </si>
  <si>
    <t>7.07% IndiGrid Inf NCD SR AF (20/06/2030)</t>
  </si>
  <si>
    <t>INE219X07520</t>
  </si>
  <si>
    <t>GOI3700</t>
  </si>
  <si>
    <t>6.89% Karnataka SDL (MD 15/12/2033)</t>
  </si>
  <si>
    <t>IN1920210169</t>
  </si>
  <si>
    <t>GOI2955</t>
  </si>
  <si>
    <t>6.62% Karnataka SDL (MD 30/12/2032)</t>
  </si>
  <si>
    <t>IN1920200541</t>
  </si>
  <si>
    <t>GOI2360</t>
  </si>
  <si>
    <t>8.68% Andhra Pradesh SDL (MD 24/10/2030)</t>
  </si>
  <si>
    <t>IN1020180304</t>
  </si>
  <si>
    <t>GOI2444</t>
  </si>
  <si>
    <t>7.93% Karnataka SDL (MD 08/04/2031)</t>
  </si>
  <si>
    <t>IN1920200020</t>
  </si>
  <si>
    <t>GOI6178</t>
  </si>
  <si>
    <t>7.67% Andhra Pradesh SDL (MD 25/05/2031)</t>
  </si>
  <si>
    <t>IN1020220126</t>
  </si>
  <si>
    <t>GOI5357</t>
  </si>
  <si>
    <t>7.73% Rajasthan SDL (MD 01/11/2033)</t>
  </si>
  <si>
    <t>IN2920230256</t>
  </si>
  <si>
    <t>GOI5156</t>
  </si>
  <si>
    <t>7.39% Tamilnadu SDL (MD 21/06/2033)</t>
  </si>
  <si>
    <t>IN3120230096</t>
  </si>
  <si>
    <t>GOI3050</t>
  </si>
  <si>
    <t>7.17% Uttar Pradesh SDL (MD 10/03/2031)</t>
  </si>
  <si>
    <t>IN3320200329</t>
  </si>
  <si>
    <t>GOI2418</t>
  </si>
  <si>
    <t>7.15% Andhra Pradesh SDL (MD 04/03/2031)</t>
  </si>
  <si>
    <t>IN1020190519</t>
  </si>
  <si>
    <t>GOI4283</t>
  </si>
  <si>
    <t>6.94% Rajasthan SDL (MD 29/09/2033)</t>
  </si>
  <si>
    <t>IN2920210308</t>
  </si>
  <si>
    <t>Money Market Instruments</t>
  </si>
  <si>
    <t>Treasury Bill</t>
  </si>
  <si>
    <t>TBIL2676</t>
  </si>
  <si>
    <t>364 Days Tbill (MD 01/07/2027)</t>
  </si>
  <si>
    <t>IN002026Z136</t>
  </si>
  <si>
    <t>Others</t>
  </si>
  <si>
    <t>Mutual Fund Units</t>
  </si>
  <si>
    <t>143269</t>
  </si>
  <si>
    <t>Parag Parikh Liquid Fund- Direct Plan- Growth</t>
  </si>
  <si>
    <t>INF879O01068</t>
  </si>
  <si>
    <t xml:space="preserve"> </t>
  </si>
  <si>
    <t>Reverse Repo / TREPS</t>
  </si>
  <si>
    <t>TRP_030826</t>
  </si>
  <si>
    <t>(b) Privately placed / Unlisted</t>
  </si>
  <si>
    <t>NIL</t>
  </si>
  <si>
    <t>Net Receivables / (Payables)</t>
  </si>
  <si>
    <t>GRAND TOTAL</t>
  </si>
  <si>
    <t>Derivatives</t>
  </si>
  <si>
    <t>Long / (Short)</t>
  </si>
  <si>
    <t>Market value 
(Rs. in Lakhs)</t>
  </si>
  <si>
    <t>% to AUM</t>
  </si>
  <si>
    <t>Notes &amp; Symbols</t>
  </si>
  <si>
    <t>Index / Stock Futures</t>
  </si>
  <si>
    <t>RELSAUG26</t>
  </si>
  <si>
    <t>Reliance Industries Limited August 2026 Future</t>
  </si>
  <si>
    <t>(Short)</t>
  </si>
  <si>
    <t>CHELAUG26</t>
  </si>
  <si>
    <t>HDFC Bank Limited August 2026 Future</t>
  </si>
  <si>
    <t>BANDAUG26</t>
  </si>
  <si>
    <t>Bharti Airtel Limited August 2026 Future</t>
  </si>
  <si>
    <t>TWATAUG26</t>
  </si>
  <si>
    <t>Kotak Mahindra Bank Limited August 2026 Future</t>
  </si>
  <si>
    <t>HINIAUG26</t>
  </si>
  <si>
    <t>Coforge Limited August 2026 Future</t>
  </si>
  <si>
    <t>GUAMAUG26</t>
  </si>
  <si>
    <t>Eternal Limited August 2026 Future</t>
  </si>
  <si>
    <t>SLIFAUG26</t>
  </si>
  <si>
    <t>UltraTech Cement Limited August 2026 Future</t>
  </si>
  <si>
    <t>JVSLAUG26</t>
  </si>
  <si>
    <t>Mahindra &amp; Mahindra Limited September 2026 Future</t>
  </si>
  <si>
    <t>BHAHAUG26</t>
  </si>
  <si>
    <t>Tata Steel Limited September 2026 Future</t>
  </si>
  <si>
    <t>ABFSAUG26</t>
  </si>
  <si>
    <t>DLF Limited August 2026 Future</t>
  </si>
  <si>
    <t>NMDCSEP26</t>
  </si>
  <si>
    <t>Titan Company Limited September 2026 Future</t>
  </si>
  <si>
    <t>BFSLAUG26</t>
  </si>
  <si>
    <t>Bajaj Finserv Limited August 2026 Future</t>
  </si>
  <si>
    <t>TWATSEP26</t>
  </si>
  <si>
    <t>NMDC Limited September 2026 Future</t>
  </si>
  <si>
    <t>DLFLAUG26</t>
  </si>
  <si>
    <t>Aditya Birla Capital Limited August 2026 Future</t>
  </si>
  <si>
    <t>TISCSEP26</t>
  </si>
  <si>
    <t>Bharat Heavy Electricals Limited August 2026 Future</t>
  </si>
  <si>
    <t>MAHISEP26</t>
  </si>
  <si>
    <t>JSW Steel Limited August 2026 Future</t>
  </si>
  <si>
    <t>ULCCAUG26</t>
  </si>
  <si>
    <t>SBI Life Insurance Company Limited August 2026 Future</t>
  </si>
  <si>
    <t>ZMPLAUG26</t>
  </si>
  <si>
    <t>Ambuja Cements Limited August 2026 Future</t>
  </si>
  <si>
    <t>NITLAUG26</t>
  </si>
  <si>
    <t>Hindalco Industries Limited August 2026 Future</t>
  </si>
  <si>
    <t>KMBKAUG26</t>
  </si>
  <si>
    <t>Titan Company Limited August 2026 Future</t>
  </si>
  <si>
    <t>BTVLAUG26</t>
  </si>
  <si>
    <t>Bandhan Bank Limited August 2026 Future</t>
  </si>
  <si>
    <t>HDFBAUG26</t>
  </si>
  <si>
    <t>Zydus Lifesciences Limited August 2026 Future</t>
  </si>
  <si>
    <t>RINDAUG26</t>
  </si>
  <si>
    <t>Jio Financial Services Limited August 2026 Future</t>
  </si>
  <si>
    <t># Traded</t>
  </si>
  <si>
    <t xml:space="preserve">$  Less Than 0.01% of Net Asset Value </t>
  </si>
  <si>
    <t>~ Yield to Maturity (YTM) as on July 31, 2026</t>
  </si>
  <si>
    <t>^ Pursuant to AMFI circular no. 135/BP/91/2020-21, Yield to Call (YTC) for AT-1 bonds and Tier-2 bonds as on July 31, 2026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</si>
  <si>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</si>
  <si>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</si>
  <si>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</si>
  <si>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</si>
  <si>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</si>
  <si>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</si>
  <si>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</si>
  <si>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</si>
  <si>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Plan wise per unit Net Asset Value are as follows:</t>
  </si>
  <si>
    <t>Options</t>
  </si>
  <si>
    <t>Direct Plan</t>
  </si>
  <si>
    <t>Parag Parikh Dynamic Asset Allocation Fund - Direct Plan - Growth</t>
  </si>
  <si>
    <t>Parag Parikh Dynamic Asset Allocation Fund - Direct Plan - Monthly IDCW</t>
  </si>
  <si>
    <t>Regular Plan</t>
  </si>
  <si>
    <t>Parag Parikh Dynamic Asset Allocation Fund - Regular Plan - Growth</t>
  </si>
  <si>
    <t>Parag Parikh Dynamic Asset Allocation Fund - Regular Plan - Monthly IDCW</t>
  </si>
  <si>
    <t xml:space="preserve">3.   Total IDCW* (Net) declared during the period ended 31 July 2026: </t>
  </si>
  <si>
    <t>Record Date</t>
  </si>
  <si>
    <t>Monthly IDCW* (Direct)</t>
  </si>
  <si>
    <t>IDCW* Per Unit
(Huf &amp; Individuals)</t>
  </si>
  <si>
    <t>IDCW* Per Unit 
(Others)</t>
  </si>
  <si>
    <t>Jul 2026</t>
  </si>
  <si>
    <t>Direct Plan- Monthly IDCW*</t>
  </si>
  <si>
    <t>Monthly IDCW* (Regular)</t>
  </si>
  <si>
    <t>Regular Plan- Monthly IDCW*</t>
  </si>
  <si>
    <t>4.   Total Bonus declared during the period ended Jul 2026  - Nil</t>
  </si>
  <si>
    <t>5.    Total outstanding exposure in derivative instruments as on Jul 2026: Rs. (3109198370)</t>
  </si>
  <si>
    <t xml:space="preserve">       (Gross exposure means sum of all long and short positions in derivatives)</t>
  </si>
  <si>
    <t>6.    Total investment in Foreign Securities / ADRs / GDRs as on 31 Jul 2026: Rs. Nil</t>
  </si>
  <si>
    <t>7.    Details of transactions of Credit Default Swap for the month ended 31 July 2026 - Nil</t>
  </si>
  <si>
    <t>8.   Average Portfolio Maturity is 994 Days</t>
  </si>
  <si>
    <t>9.  Repo transactions in corporate debt securities during the period ending 31 July 2026</t>
  </si>
  <si>
    <t>10.  Portfolio Classification by Asset Class(%) :</t>
  </si>
  <si>
    <t xml:space="preserve">        T Bills</t>
  </si>
  <si>
    <t xml:space="preserve">        Goverment Securities</t>
  </si>
  <si>
    <t xml:space="preserve">        Commercial Papers (CP) / Certificate Of Deposit (CD)</t>
  </si>
  <si>
    <t xml:space="preserve">        Equity &amp; Equity related</t>
  </si>
  <si>
    <t xml:space="preserve">        Debt Securities</t>
  </si>
  <si>
    <t xml:space="preserve">        Cash,Cash Equivalents and Net Current Assets including TREPS</t>
  </si>
  <si>
    <t>11.  Portfolio Classification by Rating Class(%) :</t>
  </si>
  <si>
    <t xml:space="preserve">        Sovereign</t>
  </si>
  <si>
    <t xml:space="preserve">        CRISIL AAA</t>
  </si>
  <si>
    <t xml:space="preserve">        Others</t>
  </si>
  <si>
    <t xml:space="preserve">        CRISIL A1+</t>
  </si>
  <si>
    <t>12.  Deviation from the valuation prices given by valuation agencies: NIL</t>
  </si>
  <si>
    <t>13.  Disclosure for investments in derivative instruments</t>
  </si>
  <si>
    <t>A. Hedging Positions through Futures as on 31 July 2026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</si>
  <si>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</si>
  <si>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</si>
  <si>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</si>
  <si>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</si>
  <si>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</si>
  <si>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</si>
  <si>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>AUG26</t>
  </si>
  <si>
    <t>Short</t>
  </si>
  <si>
    <t>SEP26</t>
  </si>
  <si>
    <t>Total exposure through futures as  % of net assets : (11.90)%</t>
  </si>
  <si>
    <t xml:space="preserve">For the period 01-Jul-2026 to 31-Jul-2026, the following details specified for hedging transactions through futures which have been squared off/expired : </t>
  </si>
  <si>
    <t>Total Number of contracts where futures were bought (opening balance)</t>
  </si>
  <si>
    <t>Total Number of contracts where futures were bought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</si>
  <si>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</si>
  <si>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</si>
  <si>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</si>
  <si>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</si>
  <si>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</si>
  <si>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</si>
  <si>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</si>
  <si>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Exposure created due to over hedging through futures (quantity of hedging position exceeding the quantity of existing position being hedged) is Nil.</t>
  </si>
  <si>
    <t>B. Other than Hedging Positions through Futures as on  31-Jul-2026 :  Nil</t>
  </si>
  <si>
    <t>C. Hedging Position through Put Option as on 31-Jul-2026 : Nil</t>
  </si>
  <si>
    <t>D. Other than Hedging Positions through Options as on 31-Jul-2026: Nil</t>
  </si>
  <si>
    <t>Total exposure through options as a % of net assets : $0.01%</t>
  </si>
  <si>
    <t xml:space="preserve">For the period 01-Jul-2026 to 31-Jul-2026, the following details specified for non-hedging transactions through options which have already been exercised/expired : </t>
  </si>
  <si>
    <t>Total Number of contracts entered into</t>
  </si>
  <si>
    <t>Gross Notional Value of contracts entered into Rs.</t>
  </si>
  <si>
    <t>Net Profit/Loss value on all contracts (treat premium paid as loss) Rs.</t>
  </si>
  <si>
    <t>E. Hedging Positions through swaps as on 31-Jul-2026: Nil</t>
  </si>
  <si>
    <t xml:space="preserve">Lumpsum Investment Performance </t>
  </si>
  <si>
    <t>Date</t>
  </si>
  <si>
    <t>Scheme</t>
  </si>
  <si>
    <t>Benchmark</t>
  </si>
  <si>
    <t>Index</t>
  </si>
  <si>
    <t>Value of Investment of Rs. 10,000/-</t>
  </si>
  <si>
    <t>PPDAAF</t>
  </si>
  <si>
    <t>PPDAAF (Direct Plan)</t>
  </si>
  <si>
    <t>CRISIL Hybrid 50+50 - Moderate Index</t>
  </si>
  <si>
    <t>Nifty 50 TRI</t>
  </si>
  <si>
    <t>Since Inception (27 Feb, 2024)</t>
  </si>
  <si>
    <t>July 31, 2025 to July 31,2026 (Last 1 Year)</t>
  </si>
  <si>
    <t>July 31, 2023 to July 31, 2026 (Last 3 Years)</t>
  </si>
  <si>
    <t>Total Amount Invested</t>
  </si>
  <si>
    <t>NA</t>
  </si>
  <si>
    <t>Market value of Investment</t>
  </si>
  <si>
    <t>Returns (Annualised) (%)</t>
  </si>
  <si>
    <t>CRISIL Hybrid 50+50 - Moderate Index (Annualised) (%)</t>
  </si>
  <si>
    <t>Nifty 50 TRI (Annualised) (%)</t>
  </si>
  <si>
    <t>SIP Investment Performance - Parag Parikh Dynamic Asset Allocation Fund - Direct Plan - Growth</t>
  </si>
  <si>
    <t>Debt Quants as on  as on July 31, 2026</t>
  </si>
  <si>
    <t>Avg maturity of the fund (years)</t>
  </si>
  <si>
    <t>Modified duration (years)</t>
  </si>
  <si>
    <t>Macaulay Duration (years)</t>
  </si>
  <si>
    <t>YTM** ( Regular &amp; Direct )</t>
  </si>
  <si>
    <t>All the above debt quants calculated on amount invest in debt securities (including accured interest), deployment of funds in TREPS &amp; Reverse Repo and net receivables/payable.</t>
  </si>
  <si>
    <t>** YTM is calculated on the basis of annualised yield for all securities.</t>
  </si>
  <si>
    <t>This Product is suitable for investors who are seeking*</t>
  </si>
  <si>
    <t xml:space="preserve">     -    Capital Appreciation &amp; Income generation over medium to long term.</t>
  </si>
  <si>
    <t xml:space="preserve">     -  Investment in equity and equity related instruments as well as debt and money market instruments while managing risk through active asset allocation</t>
  </si>
  <si>
    <t xml:space="preserve">      *   Investors should consult their financial advisers if in doubt about whether the product is suitable for them.</t>
  </si>
  <si>
    <t>AMFI Tier 1 Benchmark’s Riskometer</t>
  </si>
  <si>
    <t>Scheme’s Riskometer</t>
  </si>
  <si>
    <t>(CRISIL Hybrid 50+50 Moderate Index)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</si>
</sst>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#,##0.00;\(#,##0.00\)"/>
    <numFmt numFmtId="165" formatCode="#,##0.00%;\(#,##0.00\)%"/>
    <numFmt numFmtId="166" formatCode="#,##0.00%"/>
    <numFmt numFmtId="167" formatCode="_(* #,##0.00_);_(* \(#,##0.00\);_(* &quot;-&quot;??_);_(@_)"/>
    <numFmt numFmtId="168" formatCode="_(* #,##0_);_(* \(#,##0\);_(* &quot;-&quot;??_);_(@_)"/>
    <numFmt numFmtId="169" formatCode="dd/mm/yyyy;@"/>
    <numFmt numFmtId="170" formatCode="[$-809]dd\ mmmm\ yyyy;@"/>
    <numFmt numFmtId="171" formatCode="0.0000"/>
    <numFmt numFmtId="172" formatCode="[$-409]d/mmm/yy;@"/>
    <numFmt numFmtId="173" formatCode="0.00000000"/>
    <numFmt numFmtId="174" formatCode="#,##0.0000"/>
    <numFmt numFmtId="175" formatCode="[$-409]mmmm/yy;@"/>
    <numFmt numFmtId="176" formatCode="_(* #,##0_);_(* \(#,##0\);_(* &quot;-&quot;_);_(* @_)"/>
    <numFmt numFmtId="177" formatCode="_(* #,##0.00_);_(* \(#,##0.00\);_(* &quot;-&quot;_);_(* 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232552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8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10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right" vertical="top" wrapText="1"/>
    </xf>
    <xf numFmtId="0" fontId="6" fillId="0" borderId="18" xfId="0" applyFont="1" applyBorder="1" applyAlignment="1" applyProtection="1">
      <alignment wrapText="1"/>
      <protection locked="0"/>
    </xf>
    <xf numFmtId="0" fontId="3" fillId="0" borderId="19" xfId="0" applyFont="1" applyBorder="1" applyAlignment="1">
      <alignment horizontal="left" vertical="top" wrapText="1"/>
    </xf>
    <xf numFmtId="164" fontId="3" fillId="0" borderId="20" xfId="0" applyNumberFormat="1" applyFont="1" applyBorder="1" applyAlignment="1">
      <alignment horizontal="right" vertical="top" wrapText="1"/>
    </xf>
    <xf numFmtId="165" fontId="3" fillId="0" borderId="15" xfId="0" applyNumberFormat="1" applyFont="1" applyBorder="1" applyAlignment="1">
      <alignment horizontal="right" vertical="top" wrapText="1"/>
    </xf>
    <xf numFmtId="0" fontId="3" fillId="0" borderId="21" xfId="0" applyFont="1" applyBorder="1" applyAlignment="1">
      <alignment horizontal="right" vertical="top" wrapText="1"/>
    </xf>
    <xf numFmtId="0" fontId="7" fillId="0" borderId="22" xfId="2" applyFont="1" applyBorder="1"/>
    <xf numFmtId="0" fontId="7" fillId="0" borderId="23" xfId="2" applyFont="1" applyBorder="1"/>
    <xf numFmtId="168" fontId="7" fillId="0" borderId="23" xfId="3" applyNumberFormat="1" applyFont="1" applyFill="1" applyBorder="1"/>
    <xf numFmtId="168" fontId="9" fillId="0" borderId="23" xfId="4" applyNumberFormat="1" applyFont="1" applyFill="1" applyBorder="1"/>
    <xf numFmtId="43" fontId="7" fillId="0" borderId="23" xfId="4" applyFont="1" applyFill="1" applyBorder="1" applyAlignment="1">
      <alignment horizontal="right"/>
    </xf>
    <xf numFmtId="169" fontId="9" fillId="0" borderId="24" xfId="2" applyNumberFormat="1" applyFont="1" applyBorder="1"/>
    <xf numFmtId="0" fontId="9" fillId="0" borderId="25" xfId="2" applyFont="1" applyBorder="1"/>
    <xf numFmtId="0" fontId="9" fillId="0" borderId="0" xfId="2" applyFont="1"/>
    <xf numFmtId="167" fontId="9" fillId="0" borderId="0" xfId="3" applyFont="1" applyFill="1" applyBorder="1" applyAlignment="1">
      <alignment horizontal="right"/>
    </xf>
    <xf numFmtId="43" fontId="9" fillId="0" borderId="0" xfId="4" applyFont="1" applyFill="1" applyBorder="1"/>
    <xf numFmtId="169" fontId="9" fillId="0" borderId="26" xfId="2" applyNumberFormat="1" applyFont="1" applyBorder="1"/>
    <xf numFmtId="0" fontId="9" fillId="0" borderId="18" xfId="2" applyFont="1" applyBorder="1" applyAlignment="1">
      <alignment vertical="center"/>
    </xf>
    <xf numFmtId="0" fontId="9" fillId="0" borderId="18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 wrapText="1"/>
    </xf>
    <xf numFmtId="0" fontId="9" fillId="0" borderId="25" xfId="2" applyFont="1" applyBorder="1" applyAlignment="1">
      <alignment vertical="top"/>
    </xf>
    <xf numFmtId="170" fontId="7" fillId="0" borderId="0" xfId="2" applyNumberFormat="1" applyFont="1"/>
    <xf numFmtId="0" fontId="7" fillId="0" borderId="18" xfId="2" applyFont="1" applyBorder="1"/>
    <xf numFmtId="170" fontId="7" fillId="0" borderId="18" xfId="2" applyNumberFormat="1" applyFont="1" applyBorder="1"/>
    <xf numFmtId="171" fontId="9" fillId="0" borderId="18" xfId="2" applyNumberFormat="1" applyFont="1" applyBorder="1"/>
    <xf numFmtId="0" fontId="9" fillId="0" borderId="18" xfId="2" applyFont="1" applyBorder="1"/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5" fontId="10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15" fontId="4" fillId="0" borderId="0" xfId="0" applyNumberFormat="1" applyFont="1" applyAlignment="1">
      <alignment horizontal="center" vertical="center"/>
    </xf>
    <xf numFmtId="0" fontId="9" fillId="0" borderId="0" xfId="2" applyFont="1" applyAlignment="1">
      <alignment vertical="top"/>
    </xf>
    <xf numFmtId="15" fontId="7" fillId="0" borderId="18" xfId="5" applyNumberFormat="1" applyFont="1" applyBorder="1" applyAlignment="1">
      <alignment horizontal="center" vertical="top"/>
    </xf>
    <xf numFmtId="0" fontId="7" fillId="0" borderId="18" xfId="5" applyFont="1" applyBorder="1" applyAlignment="1">
      <alignment horizontal="center" vertical="top" wrapText="1"/>
    </xf>
    <xf numFmtId="169" fontId="9" fillId="0" borderId="26" xfId="5" applyNumberFormat="1" applyFont="1" applyBorder="1"/>
    <xf numFmtId="172" fontId="9" fillId="0" borderId="18" xfId="5" quotePrefix="1" applyNumberFormat="1" applyFont="1" applyBorder="1" applyAlignment="1">
      <alignment horizontal="center" vertical="top"/>
    </xf>
    <xf numFmtId="0" fontId="9" fillId="0" borderId="18" xfId="5" applyFont="1" applyBorder="1" applyAlignment="1">
      <alignment vertical="top" wrapText="1"/>
    </xf>
    <xf numFmtId="0" fontId="9" fillId="0" borderId="18" xfId="0" applyFont="1" applyBorder="1"/>
    <xf numFmtId="0" fontId="9" fillId="0" borderId="0" xfId="5" applyFont="1"/>
    <xf numFmtId="15" fontId="9" fillId="0" borderId="18" xfId="5" applyNumberFormat="1" applyFont="1" applyBorder="1" applyAlignment="1">
      <alignment horizontal="center" vertical="top"/>
    </xf>
    <xf numFmtId="172" fontId="9" fillId="0" borderId="25" xfId="5" quotePrefix="1" applyNumberFormat="1" applyFont="1" applyBorder="1" applyAlignment="1">
      <alignment horizontal="center" vertical="top"/>
    </xf>
    <xf numFmtId="0" fontId="9" fillId="0" borderId="0" xfId="5" applyFont="1" applyAlignment="1">
      <alignment vertical="top" wrapText="1"/>
    </xf>
    <xf numFmtId="173" fontId="9" fillId="0" borderId="0" xfId="5" applyNumberFormat="1" applyFont="1"/>
    <xf numFmtId="0" fontId="2" fillId="0" borderId="0" xfId="5" applyFont="1"/>
    <xf numFmtId="4" fontId="9" fillId="0" borderId="0" xfId="2" applyNumberFormat="1" applyFont="1" applyAlignment="1">
      <alignment vertical="top"/>
    </xf>
    <xf numFmtId="164" fontId="2" fillId="0" borderId="0" xfId="5" applyNumberFormat="1" applyFont="1"/>
    <xf numFmtId="164" fontId="9" fillId="0" borderId="0" xfId="2" applyNumberFormat="1" applyFont="1" applyAlignment="1">
      <alignment vertical="top"/>
    </xf>
    <xf numFmtId="0" fontId="9" fillId="0" borderId="25" xfId="6" applyFont="1" applyBorder="1" applyAlignment="1">
      <alignment vertical="top"/>
    </xf>
    <xf numFmtId="0" fontId="9" fillId="0" borderId="25" xfId="2" applyFont="1" applyBorder="1" applyAlignment="1">
      <alignment horizontal="left" vertical="top"/>
    </xf>
    <xf numFmtId="0" fontId="9" fillId="0" borderId="18" xfId="2" applyFont="1" applyBorder="1" applyAlignment="1">
      <alignment vertical="top"/>
    </xf>
    <xf numFmtId="43" fontId="9" fillId="0" borderId="18" xfId="4" applyFont="1" applyFill="1" applyBorder="1"/>
    <xf numFmtId="2" fontId="9" fillId="0" borderId="0" xfId="4" applyNumberFormat="1" applyFont="1" applyFill="1" applyBorder="1"/>
    <xf numFmtId="43" fontId="9" fillId="0" borderId="18" xfId="2" applyNumberFormat="1" applyFont="1" applyBorder="1" applyAlignment="1">
      <alignment vertical="top"/>
    </xf>
    <xf numFmtId="2" fontId="9" fillId="0" borderId="0" xfId="7" applyNumberFormat="1" applyFont="1" applyFill="1" applyBorder="1"/>
    <xf numFmtId="167" fontId="9" fillId="0" borderId="18" xfId="2" applyNumberFormat="1" applyFont="1" applyBorder="1" applyAlignment="1">
      <alignment vertical="top"/>
    </xf>
    <xf numFmtId="167" fontId="9" fillId="0" borderId="0" xfId="7" applyNumberFormat="1" applyFont="1" applyFill="1" applyBorder="1"/>
    <xf numFmtId="167" fontId="9" fillId="0" borderId="18" xfId="6" applyNumberFormat="1" applyFont="1" applyBorder="1"/>
    <xf numFmtId="10" fontId="9" fillId="0" borderId="0" xfId="4" applyNumberFormat="1" applyFont="1" applyFill="1" applyBorder="1"/>
    <xf numFmtId="165" fontId="9" fillId="0" borderId="0" xfId="4" applyNumberFormat="1" applyFont="1" applyFill="1" applyBorder="1"/>
    <xf numFmtId="43" fontId="9" fillId="0" borderId="18" xfId="6" applyNumberFormat="1" applyFont="1" applyBorder="1"/>
    <xf numFmtId="167" fontId="2" fillId="0" borderId="26" xfId="5" applyNumberFormat="1" applyFont="1" applyBorder="1"/>
    <xf numFmtId="0" fontId="9" fillId="0" borderId="0" xfId="6" applyFont="1"/>
    <xf numFmtId="169" fontId="9" fillId="0" borderId="0" xfId="2" applyNumberFormat="1" applyFont="1"/>
    <xf numFmtId="10" fontId="9" fillId="0" borderId="0" xfId="7" applyNumberFormat="1" applyFont="1" applyFill="1" applyBorder="1"/>
    <xf numFmtId="0" fontId="9" fillId="0" borderId="25" xfId="6" applyFont="1" applyBorder="1"/>
    <xf numFmtId="4" fontId="9" fillId="0" borderId="0" xfId="6" applyNumberFormat="1" applyFont="1"/>
    <xf numFmtId="0" fontId="7" fillId="0" borderId="0" xfId="6" applyFont="1"/>
    <xf numFmtId="0" fontId="7" fillId="0" borderId="25" xfId="6" applyFont="1" applyBorder="1" applyAlignment="1">
      <alignment vertical="top"/>
    </xf>
    <xf numFmtId="0" fontId="9" fillId="0" borderId="0" xfId="6" applyFont="1" applyAlignment="1">
      <alignment vertical="top"/>
    </xf>
    <xf numFmtId="174" fontId="7" fillId="0" borderId="0" xfId="6" applyNumberFormat="1" applyFont="1"/>
    <xf numFmtId="0" fontId="7" fillId="0" borderId="18" xfId="2" applyFont="1" applyBorder="1" applyAlignment="1">
      <alignment vertical="top" wrapText="1"/>
    </xf>
    <xf numFmtId="0" fontId="9" fillId="0" borderId="18" xfId="6" applyFont="1" applyBorder="1" applyAlignment="1">
      <alignment vertical="top"/>
    </xf>
    <xf numFmtId="175" fontId="9" fillId="0" borderId="18" xfId="2" applyNumberFormat="1" applyFont="1" applyBorder="1"/>
    <xf numFmtId="4" fontId="7" fillId="0" borderId="27" xfId="2" applyNumberFormat="1" applyFont="1" applyBorder="1" applyAlignment="1">
      <alignment horizontal="center" vertical="center" wrapText="1"/>
    </xf>
    <xf numFmtId="4" fontId="7" fillId="0" borderId="28" xfId="2" applyNumberFormat="1" applyFont="1" applyBorder="1" applyAlignment="1">
      <alignment horizontal="center" vertical="center" wrapText="1"/>
    </xf>
    <xf numFmtId="4" fontId="7" fillId="0" borderId="29" xfId="2" applyNumberFormat="1" applyFont="1" applyBorder="1" applyAlignment="1">
      <alignment horizontal="center" vertical="center" wrapText="1"/>
    </xf>
    <xf numFmtId="175" fontId="9" fillId="0" borderId="0" xfId="2" applyNumberFormat="1" applyFont="1"/>
    <xf numFmtId="4" fontId="7" fillId="0" borderId="0" xfId="2" applyNumberFormat="1" applyFont="1" applyAlignment="1">
      <alignment vertical="center" wrapText="1"/>
    </xf>
    <xf numFmtId="176" fontId="9" fillId="0" borderId="0" xfId="3" applyNumberFormat="1" applyFont="1" applyFill="1" applyBorder="1"/>
    <xf numFmtId="168" fontId="9" fillId="0" borderId="0" xfId="3" applyNumberFormat="1" applyFont="1" applyFill="1" applyBorder="1"/>
    <xf numFmtId="0" fontId="7" fillId="0" borderId="25" xfId="5" applyFont="1" applyBorder="1"/>
    <xf numFmtId="0" fontId="7" fillId="0" borderId="0" xfId="5" applyFont="1"/>
    <xf numFmtId="0" fontId="6" fillId="0" borderId="0" xfId="5" applyFont="1"/>
    <xf numFmtId="43" fontId="2" fillId="0" borderId="26" xfId="4" applyFont="1" applyFill="1" applyBorder="1"/>
    <xf numFmtId="0" fontId="9" fillId="0" borderId="18" xfId="5" applyFont="1" applyBorder="1"/>
    <xf numFmtId="168" fontId="9" fillId="0" borderId="18" xfId="4" applyNumberFormat="1" applyFont="1" applyFill="1" applyBorder="1"/>
    <xf numFmtId="0" fontId="9" fillId="0" borderId="0" xfId="0" applyFont="1"/>
    <xf numFmtId="4" fontId="9" fillId="0" borderId="0" xfId="3" applyNumberFormat="1" applyFont="1" applyFill="1" applyBorder="1"/>
    <xf numFmtId="0" fontId="9" fillId="0" borderId="25" xfId="5" applyFont="1" applyBorder="1"/>
    <xf numFmtId="167" fontId="9" fillId="0" borderId="0" xfId="3" applyFont="1" applyFill="1" applyBorder="1"/>
    <xf numFmtId="0" fontId="9" fillId="0" borderId="25" xfId="3" applyNumberFormat="1" applyFont="1" applyFill="1" applyBorder="1" applyAlignment="1">
      <alignment horizontal="left"/>
    </xf>
    <xf numFmtId="0" fontId="9" fillId="0" borderId="0" xfId="3" applyNumberFormat="1" applyFont="1" applyFill="1" applyBorder="1" applyAlignment="1">
      <alignment horizontal="left"/>
    </xf>
    <xf numFmtId="0" fontId="7" fillId="0" borderId="25" xfId="2" applyFont="1" applyBorder="1"/>
    <xf numFmtId="0" fontId="7" fillId="0" borderId="0" xfId="2" applyFont="1"/>
    <xf numFmtId="4" fontId="9" fillId="0" borderId="0" xfId="2" applyNumberFormat="1" applyFont="1"/>
    <xf numFmtId="177" fontId="9" fillId="0" borderId="0" xfId="2" applyNumberFormat="1" applyFont="1"/>
    <xf numFmtId="0" fontId="9" fillId="0" borderId="25" xfId="2" applyFont="1" applyBorder="1" applyAlignment="1">
      <alignment horizontal="left"/>
    </xf>
    <xf numFmtId="0" fontId="9" fillId="0" borderId="0" xfId="2" applyFont="1" applyAlignment="1">
      <alignment horizontal="left"/>
    </xf>
    <xf numFmtId="0" fontId="7" fillId="0" borderId="30" xfId="2" applyFont="1" applyBorder="1"/>
    <xf numFmtId="0" fontId="9" fillId="0" borderId="31" xfId="2" applyFont="1" applyBorder="1"/>
    <xf numFmtId="169" fontId="9" fillId="0" borderId="32" xfId="2" applyNumberFormat="1" applyFont="1" applyBorder="1"/>
    <xf numFmtId="0" fontId="9" fillId="0" borderId="0" xfId="0" applyFont="1" applyAlignment="1">
      <alignment wrapText="1"/>
    </xf>
    <xf numFmtId="0" fontId="7" fillId="0" borderId="18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7" fillId="0" borderId="18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9" fillId="0" borderId="18" xfId="0" applyFont="1" applyBorder="1" applyAlignment="1">
      <alignment wrapText="1"/>
    </xf>
    <xf numFmtId="10" fontId="9" fillId="0" borderId="18" xfId="1" applyNumberFormat="1" applyFont="1" applyFill="1" applyBorder="1" applyAlignment="1" applyProtection="1">
      <alignment horizontal="center"/>
      <protection locked="0"/>
    </xf>
    <xf numFmtId="1" fontId="2" fillId="0" borderId="18" xfId="0" applyNumberFormat="1" applyFont="1" applyBorder="1" applyAlignment="1" applyProtection="1">
      <alignment horizontal="center"/>
      <protection locked="0"/>
    </xf>
    <xf numFmtId="0" fontId="9" fillId="0" borderId="18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7" fillId="0" borderId="18" xfId="0" applyFont="1" applyBorder="1"/>
    <xf numFmtId="0" fontId="6" fillId="0" borderId="18" xfId="0" applyFont="1" applyBorder="1" applyAlignment="1">
      <alignment horizontal="center" wrapText="1"/>
    </xf>
    <xf numFmtId="10" fontId="9" fillId="0" borderId="18" xfId="0" applyNumberFormat="1" applyFont="1" applyBorder="1" applyAlignment="1">
      <alignment horizontal="right" vertical="center" wrapText="1"/>
    </xf>
    <xf numFmtId="1" fontId="9" fillId="0" borderId="18" xfId="0" applyNumberFormat="1" applyFont="1" applyBorder="1"/>
    <xf numFmtId="4" fontId="9" fillId="0" borderId="18" xfId="0" applyNumberFormat="1" applyFont="1" applyBorder="1"/>
    <xf numFmtId="171" fontId="9" fillId="0" borderId="18" xfId="0" applyNumberFormat="1" applyFont="1" applyBorder="1"/>
    <xf numFmtId="10" fontId="9" fillId="0" borderId="18" xfId="1" applyNumberFormat="1" applyFont="1" applyFill="1" applyBorder="1"/>
    <xf numFmtId="10" fontId="9" fillId="0" borderId="0" xfId="1" applyNumberFormat="1" applyFont="1" applyFill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</cellXfs>
  <cellStyles count="8">
    <cellStyle name="Comma 2" xfId="3" xr:uid="{137A6DC5-0A44-40A0-90DF-BC4D0090E55B}"/>
    <cellStyle name="Comma 3" xfId="4" xr:uid="{9A4A8665-12BA-4740-92D5-406326F92572}"/>
    <cellStyle name="Normal" xfId="0" builtinId="0"/>
    <cellStyle name="Normal 13" xfId="5" xr:uid="{BC4C8B3C-9327-4C24-ADB3-0AE44A2A3723}"/>
    <cellStyle name="Normal 2" xfId="2" xr:uid="{EF9AC456-C521-4AAB-A01F-A257A712E762}"/>
    <cellStyle name="Normal 2 2" xfId="6" xr:uid="{7CFFD4A9-4336-49AE-AFD9-BC4DA6C1769B}"/>
    <cellStyle name="Percent" xfId="1" builtinId="5"/>
    <cellStyle name="Percent 2" xfId="7" xr:uid="{CB7F8029-81A3-4C42-94C6-E4699B6A36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436245</xdr:colOff>
      <xdr:row>305</xdr:row>
      <xdr:rowOff>53340</xdr:rowOff>
    </xdr:from>
    <xdr:to>
      <xdr:col>4</xdr:col>
      <xdr:colOff>0</xdr:colOff>
      <xdr:row>314</xdr:row>
      <xdr:rowOff>120015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CE8527-A178-43CA-8D1D-75F542023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9020" y="50916840"/>
          <a:ext cx="3002280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305</xdr:row>
      <xdr:rowOff>38100</xdr:rowOff>
    </xdr:from>
    <xdr:to>
      <xdr:col>2</xdr:col>
      <xdr:colOff>63136</xdr:colOff>
      <xdr:row>315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6D2381-DD49-46F9-9355-C64517E55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50901600"/>
          <a:ext cx="2920636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AMC\RAJU_from%2020032020\Fact%20Sheet\2026-27\July%202026\Monthly\Final\MONTHLY_PORTFOLIO_JULY%202026.xls" TargetMode="External"/><Relationship Id="rId1" Type="http://schemas.openxmlformats.org/officeDocument/2006/relationships/externalLinkPath" Target="MONTHLY_PORTFOLIO_JULY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FCF"/>
      <sheetName val="PPLF"/>
      <sheetName val="PPTSF"/>
      <sheetName val="PPCHF"/>
      <sheetName val="PPAF"/>
      <sheetName val="PPDAAF"/>
      <sheetName val="PPL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66AC9-3A7B-4A09-B5EF-76BD4651AEB1}">
  <sheetPr>
    <outlinePr summaryBelow="0"/>
  </sheetPr>
  <dimension ref="A1:J305"/>
  <sheetViews>
    <sheetView tabSelected="1" workbookViewId="0"/>
  </sheetViews>
  <sheetFormatPr defaultColWidth="9.140625" defaultRowHeight="12" x14ac:dyDescent="0.2"/>
  <cols>
    <col min="1" max="1" width="3.28515625" style="3" customWidth="1"/>
    <col min="2" max="2" width="44" style="3" customWidth="1"/>
    <col min="3" max="3" width="22.140625" style="3" customWidth="1"/>
    <col min="4" max="4" width="29.42578125" style="3" customWidth="1"/>
    <col min="5" max="5" width="16.7109375" style="3" customWidth="1"/>
    <col min="6" max="6" width="19.42578125" style="3" customWidth="1"/>
    <col min="7" max="7" width="13" style="3" customWidth="1"/>
    <col min="8" max="8" width="11.28515625" style="3" customWidth="1"/>
    <col min="9" max="9" width="9.85546875" style="3" customWidth="1"/>
    <col min="10" max="10" width="10.85546875" style="3" customWidth="1"/>
    <col min="11" max="16384" width="9.140625" style="3"/>
  </cols>
  <sheetData>
    <row r="1" spans="1:10" ht="15.95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 x14ac:dyDescent="0.2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2.95" customHeight="1" x14ac:dyDescent="0.2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7.95" customHeight="1" x14ac:dyDescent="0.2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/>
    </row>
    <row r="5" spans="1:10" ht="12.95" customHeight="1" x14ac:dyDescent="0.2">
      <c r="A5" s="1"/>
      <c r="B5" s="12" t="s">
        <v>11</v>
      </c>
      <c r="C5" s="13"/>
      <c r="D5" s="13"/>
      <c r="E5" s="13"/>
      <c r="F5" s="13"/>
      <c r="G5" s="13"/>
      <c r="H5" s="14"/>
      <c r="I5" s="15"/>
      <c r="J5" s="1"/>
    </row>
    <row r="6" spans="1:10" ht="12.95" customHeight="1" x14ac:dyDescent="0.2">
      <c r="A6" s="1"/>
      <c r="B6" s="12" t="s">
        <v>12</v>
      </c>
      <c r="C6" s="13"/>
      <c r="D6" s="13"/>
      <c r="E6" s="13"/>
      <c r="F6" s="1"/>
      <c r="G6" s="14"/>
      <c r="H6" s="14"/>
      <c r="I6" s="15"/>
      <c r="J6" s="1"/>
    </row>
    <row r="7" spans="1:10" ht="12.95" customHeight="1" x14ac:dyDescent="0.2">
      <c r="A7" s="16" t="s">
        <v>13</v>
      </c>
      <c r="B7" s="17" t="s">
        <v>14</v>
      </c>
      <c r="C7" s="13" t="s">
        <v>15</v>
      </c>
      <c r="D7" s="13" t="s">
        <v>16</v>
      </c>
      <c r="E7" s="18">
        <v>1801644</v>
      </c>
      <c r="F7" s="19">
        <v>7461.51</v>
      </c>
      <c r="G7" s="20">
        <v>2.86E-2</v>
      </c>
      <c r="H7" s="14"/>
      <c r="I7" s="15"/>
      <c r="J7" s="1"/>
    </row>
    <row r="8" spans="1:10" ht="12.95" customHeight="1" x14ac:dyDescent="0.2">
      <c r="A8" s="16" t="s">
        <v>17</v>
      </c>
      <c r="B8" s="17" t="s">
        <v>18</v>
      </c>
      <c r="C8" s="13" t="s">
        <v>19</v>
      </c>
      <c r="D8" s="13" t="s">
        <v>20</v>
      </c>
      <c r="E8" s="18">
        <v>2534194</v>
      </c>
      <c r="F8" s="19">
        <v>7203.45</v>
      </c>
      <c r="G8" s="20">
        <v>2.76E-2</v>
      </c>
      <c r="H8" s="14"/>
      <c r="I8" s="15"/>
      <c r="J8" s="1"/>
    </row>
    <row r="9" spans="1:10" ht="12.95" customHeight="1" x14ac:dyDescent="0.2">
      <c r="A9" s="16" t="s">
        <v>21</v>
      </c>
      <c r="B9" s="17" t="s">
        <v>22</v>
      </c>
      <c r="C9" s="13" t="s">
        <v>23</v>
      </c>
      <c r="D9" s="13" t="s">
        <v>24</v>
      </c>
      <c r="E9" s="18">
        <v>2504237</v>
      </c>
      <c r="F9" s="19">
        <v>7030.65</v>
      </c>
      <c r="G9" s="20">
        <v>2.69E-2</v>
      </c>
      <c r="H9" s="14"/>
      <c r="I9" s="15"/>
      <c r="J9" s="1"/>
    </row>
    <row r="10" spans="1:10" ht="12.95" customHeight="1" x14ac:dyDescent="0.2">
      <c r="A10" s="16" t="s">
        <v>25</v>
      </c>
      <c r="B10" s="17" t="s">
        <v>26</v>
      </c>
      <c r="C10" s="13" t="s">
        <v>27</v>
      </c>
      <c r="D10" s="13" t="s">
        <v>28</v>
      </c>
      <c r="E10" s="18">
        <v>2350542</v>
      </c>
      <c r="F10" s="19">
        <v>6605.02</v>
      </c>
      <c r="G10" s="20">
        <v>2.53E-2</v>
      </c>
      <c r="H10" s="14"/>
      <c r="I10" s="15"/>
      <c r="J10" s="1"/>
    </row>
    <row r="11" spans="1:10" ht="12.95" customHeight="1" x14ac:dyDescent="0.2">
      <c r="A11" s="16" t="s">
        <v>29</v>
      </c>
      <c r="B11" s="17" t="s">
        <v>30</v>
      </c>
      <c r="C11" s="13" t="s">
        <v>31</v>
      </c>
      <c r="D11" s="13" t="s">
        <v>32</v>
      </c>
      <c r="E11" s="18">
        <v>788502</v>
      </c>
      <c r="F11" s="19">
        <v>2940.72</v>
      </c>
      <c r="G11" s="20">
        <v>1.1299999999999999E-2</v>
      </c>
      <c r="H11" s="14"/>
      <c r="I11" s="15"/>
      <c r="J11" s="1"/>
    </row>
    <row r="12" spans="1:10" ht="12.95" customHeight="1" x14ac:dyDescent="0.2">
      <c r="A12" s="16" t="s">
        <v>33</v>
      </c>
      <c r="B12" s="17" t="s">
        <v>34</v>
      </c>
      <c r="C12" s="13" t="s">
        <v>35</v>
      </c>
      <c r="D12" s="13" t="s">
        <v>36</v>
      </c>
      <c r="E12" s="18">
        <v>71157</v>
      </c>
      <c r="F12" s="19">
        <v>2582.0700000000002</v>
      </c>
      <c r="G12" s="20">
        <v>9.9000000000000008E-3</v>
      </c>
      <c r="H12" s="14"/>
      <c r="I12" s="15"/>
      <c r="J12" s="1"/>
    </row>
    <row r="13" spans="1:10" ht="12.95" customHeight="1" x14ac:dyDescent="0.2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227992</v>
      </c>
      <c r="F13" s="19">
        <v>2427.66</v>
      </c>
      <c r="G13" s="20">
        <v>9.2999999999999992E-3</v>
      </c>
      <c r="H13" s="14"/>
      <c r="I13" s="15"/>
      <c r="J13" s="1"/>
    </row>
    <row r="14" spans="1:10" ht="12.95" customHeight="1" x14ac:dyDescent="0.2">
      <c r="A14" s="16" t="s">
        <v>41</v>
      </c>
      <c r="B14" s="17" t="s">
        <v>42</v>
      </c>
      <c r="C14" s="13" t="s">
        <v>43</v>
      </c>
      <c r="D14" s="13" t="s">
        <v>44</v>
      </c>
      <c r="E14" s="18">
        <v>897508</v>
      </c>
      <c r="F14" s="19">
        <v>1987.98</v>
      </c>
      <c r="G14" s="20">
        <v>7.6E-3</v>
      </c>
      <c r="H14" s="14"/>
      <c r="I14" s="15"/>
      <c r="J14" s="1"/>
    </row>
    <row r="15" spans="1:10" ht="12.95" customHeight="1" x14ac:dyDescent="0.2">
      <c r="A15" s="16" t="s">
        <v>45</v>
      </c>
      <c r="B15" s="17" t="s">
        <v>46</v>
      </c>
      <c r="C15" s="13" t="s">
        <v>47</v>
      </c>
      <c r="D15" s="13" t="s">
        <v>48</v>
      </c>
      <c r="E15" s="18">
        <v>37238</v>
      </c>
      <c r="F15" s="19">
        <v>145.63999999999999</v>
      </c>
      <c r="G15" s="20">
        <v>5.9999999999999995E-4</v>
      </c>
      <c r="H15" s="14"/>
      <c r="I15" s="15"/>
      <c r="J15" s="1"/>
    </row>
    <row r="16" spans="1:10" ht="12.95" customHeight="1" x14ac:dyDescent="0.2">
      <c r="A16" s="1"/>
      <c r="B16" s="21" t="s">
        <v>49</v>
      </c>
      <c r="C16" s="22"/>
      <c r="D16" s="22"/>
      <c r="E16" s="22"/>
      <c r="F16" s="23">
        <f>SUM(F7:F15)</f>
        <v>38384.700000000004</v>
      </c>
      <c r="G16" s="24">
        <f>SUM(G7:G15)</f>
        <v>0.14710000000000001</v>
      </c>
      <c r="H16" s="25"/>
      <c r="I16" s="26"/>
      <c r="J16" s="1"/>
    </row>
    <row r="17" spans="1:10" ht="12.95" customHeight="1" x14ac:dyDescent="0.2">
      <c r="A17" s="1"/>
      <c r="B17" s="12" t="s">
        <v>50</v>
      </c>
      <c r="C17" s="13"/>
      <c r="D17" s="13"/>
      <c r="E17" s="13"/>
      <c r="F17" s="1"/>
      <c r="G17" s="14"/>
      <c r="H17" s="14"/>
      <c r="I17" s="15"/>
      <c r="J17" s="1"/>
    </row>
    <row r="18" spans="1:10" ht="12.95" customHeight="1" x14ac:dyDescent="0.2">
      <c r="A18" s="16" t="s">
        <v>51</v>
      </c>
      <c r="B18" s="17" t="s">
        <v>52</v>
      </c>
      <c r="C18" s="13" t="s">
        <v>53</v>
      </c>
      <c r="D18" s="13" t="s">
        <v>54</v>
      </c>
      <c r="E18" s="18">
        <v>582000</v>
      </c>
      <c r="F18" s="19">
        <v>7611.4</v>
      </c>
      <c r="G18" s="20">
        <v>2.9100000000000001E-2</v>
      </c>
      <c r="H18" s="14"/>
      <c r="I18" s="15"/>
      <c r="J18" s="1"/>
    </row>
    <row r="19" spans="1:10" ht="12.95" customHeight="1" x14ac:dyDescent="0.2">
      <c r="A19" s="16" t="s">
        <v>55</v>
      </c>
      <c r="B19" s="17" t="s">
        <v>56</v>
      </c>
      <c r="C19" s="13" t="s">
        <v>57</v>
      </c>
      <c r="D19" s="13" t="s">
        <v>58</v>
      </c>
      <c r="E19" s="18">
        <v>705250</v>
      </c>
      <c r="F19" s="19">
        <v>5276.33</v>
      </c>
      <c r="G19" s="20">
        <v>2.0199999999999999E-2</v>
      </c>
      <c r="H19" s="14"/>
      <c r="I19" s="15"/>
      <c r="J19" s="1"/>
    </row>
    <row r="20" spans="1:10" ht="12.95" customHeight="1" x14ac:dyDescent="0.2">
      <c r="A20" s="16" t="s">
        <v>59</v>
      </c>
      <c r="B20" s="17" t="s">
        <v>60</v>
      </c>
      <c r="C20" s="13" t="s">
        <v>61</v>
      </c>
      <c r="D20" s="13" t="s">
        <v>48</v>
      </c>
      <c r="E20" s="18">
        <v>249850</v>
      </c>
      <c r="F20" s="19">
        <v>4927.04</v>
      </c>
      <c r="G20" s="20">
        <v>1.89E-2</v>
      </c>
      <c r="H20" s="14"/>
      <c r="I20" s="15"/>
      <c r="J20" s="1"/>
    </row>
    <row r="21" spans="1:10" ht="12.95" customHeight="1" x14ac:dyDescent="0.2">
      <c r="A21" s="16" t="s">
        <v>62</v>
      </c>
      <c r="B21" s="17" t="s">
        <v>63</v>
      </c>
      <c r="C21" s="13" t="s">
        <v>64</v>
      </c>
      <c r="D21" s="13" t="s">
        <v>58</v>
      </c>
      <c r="E21" s="18">
        <v>962000</v>
      </c>
      <c r="F21" s="19">
        <v>3754.69</v>
      </c>
      <c r="G21" s="20">
        <v>1.44E-2</v>
      </c>
      <c r="H21" s="14"/>
      <c r="I21" s="15"/>
      <c r="J21" s="1"/>
    </row>
    <row r="22" spans="1:10" ht="12.95" customHeight="1" x14ac:dyDescent="0.2">
      <c r="A22" s="16" t="s">
        <v>65</v>
      </c>
      <c r="B22" s="17" t="s">
        <v>66</v>
      </c>
      <c r="C22" s="13" t="s">
        <v>67</v>
      </c>
      <c r="D22" s="13" t="s">
        <v>68</v>
      </c>
      <c r="E22" s="18">
        <v>121125</v>
      </c>
      <c r="F22" s="19">
        <v>2084.56</v>
      </c>
      <c r="G22" s="20">
        <v>8.0000000000000002E-3</v>
      </c>
      <c r="H22" s="14"/>
      <c r="I22" s="15"/>
      <c r="J22" s="1"/>
    </row>
    <row r="23" spans="1:10" ht="12.95" customHeight="1" x14ac:dyDescent="0.2">
      <c r="A23" s="16" t="s">
        <v>69</v>
      </c>
      <c r="B23" s="17" t="s">
        <v>70</v>
      </c>
      <c r="C23" s="13" t="s">
        <v>71</v>
      </c>
      <c r="D23" s="13" t="s">
        <v>72</v>
      </c>
      <c r="E23" s="18">
        <v>504400</v>
      </c>
      <c r="F23" s="19">
        <v>1525.56</v>
      </c>
      <c r="G23" s="20">
        <v>5.7999999999999996E-3</v>
      </c>
      <c r="H23" s="14"/>
      <c r="I23" s="15"/>
      <c r="J23" s="1"/>
    </row>
    <row r="24" spans="1:10" ht="12.95" customHeight="1" x14ac:dyDescent="0.2">
      <c r="A24" s="16" t="s">
        <v>73</v>
      </c>
      <c r="B24" s="17" t="s">
        <v>74</v>
      </c>
      <c r="C24" s="13" t="s">
        <v>75</v>
      </c>
      <c r="D24" s="13" t="s">
        <v>76</v>
      </c>
      <c r="E24" s="18">
        <v>8050</v>
      </c>
      <c r="F24" s="19">
        <v>958.19</v>
      </c>
      <c r="G24" s="20">
        <v>3.7000000000000002E-3</v>
      </c>
      <c r="H24" s="14"/>
      <c r="I24" s="15"/>
      <c r="J24" s="1"/>
    </row>
    <row r="25" spans="1:10" ht="12.95" customHeight="1" x14ac:dyDescent="0.2">
      <c r="A25" s="16" t="s">
        <v>77</v>
      </c>
      <c r="B25" s="17" t="s">
        <v>78</v>
      </c>
      <c r="C25" s="13" t="s">
        <v>79</v>
      </c>
      <c r="D25" s="13" t="s">
        <v>80</v>
      </c>
      <c r="E25" s="18">
        <v>27400</v>
      </c>
      <c r="F25" s="19">
        <v>931.19</v>
      </c>
      <c r="G25" s="20">
        <v>3.5999999999999999E-3</v>
      </c>
      <c r="H25" s="14"/>
      <c r="I25" s="15"/>
      <c r="J25" s="1"/>
    </row>
    <row r="26" spans="1:10" ht="12.95" customHeight="1" x14ac:dyDescent="0.2">
      <c r="A26" s="16" t="s">
        <v>81</v>
      </c>
      <c r="B26" s="17" t="s">
        <v>82</v>
      </c>
      <c r="C26" s="13" t="s">
        <v>83</v>
      </c>
      <c r="D26" s="13" t="s">
        <v>84</v>
      </c>
      <c r="E26" s="18">
        <v>407000</v>
      </c>
      <c r="F26" s="19">
        <v>772.04</v>
      </c>
      <c r="G26" s="20">
        <v>3.0000000000000001E-3</v>
      </c>
      <c r="H26" s="14"/>
      <c r="I26" s="15"/>
      <c r="J26" s="1"/>
    </row>
    <row r="27" spans="1:10" ht="12.95" customHeight="1" x14ac:dyDescent="0.2">
      <c r="A27" s="16" t="s">
        <v>85</v>
      </c>
      <c r="B27" s="17" t="s">
        <v>86</v>
      </c>
      <c r="C27" s="13" t="s">
        <v>87</v>
      </c>
      <c r="D27" s="13" t="s">
        <v>88</v>
      </c>
      <c r="E27" s="18">
        <v>111150</v>
      </c>
      <c r="F27" s="19">
        <v>732.81</v>
      </c>
      <c r="G27" s="20">
        <v>2.8E-3</v>
      </c>
      <c r="H27" s="14"/>
      <c r="I27" s="15"/>
      <c r="J27" s="1"/>
    </row>
    <row r="28" spans="1:10" ht="12.95" customHeight="1" x14ac:dyDescent="0.2">
      <c r="A28" s="16" t="s">
        <v>89</v>
      </c>
      <c r="B28" s="17" t="s">
        <v>90</v>
      </c>
      <c r="C28" s="13" t="s">
        <v>91</v>
      </c>
      <c r="D28" s="13" t="s">
        <v>92</v>
      </c>
      <c r="E28" s="18">
        <v>9975</v>
      </c>
      <c r="F28" s="19">
        <v>486.3</v>
      </c>
      <c r="G28" s="20">
        <v>1.9E-3</v>
      </c>
      <c r="H28" s="14"/>
      <c r="I28" s="15"/>
      <c r="J28" s="1"/>
    </row>
    <row r="29" spans="1:10" ht="12.95" customHeight="1" x14ac:dyDescent="0.2">
      <c r="A29" s="16" t="s">
        <v>93</v>
      </c>
      <c r="B29" s="17" t="s">
        <v>94</v>
      </c>
      <c r="C29" s="13" t="s">
        <v>95</v>
      </c>
      <c r="D29" s="13" t="s">
        <v>96</v>
      </c>
      <c r="E29" s="18">
        <v>465750</v>
      </c>
      <c r="F29" s="19">
        <v>396.07</v>
      </c>
      <c r="G29" s="20">
        <v>1.5E-3</v>
      </c>
      <c r="H29" s="14"/>
      <c r="I29" s="15"/>
      <c r="J29" s="1"/>
    </row>
    <row r="30" spans="1:10" ht="12.95" customHeight="1" x14ac:dyDescent="0.2">
      <c r="A30" s="16" t="s">
        <v>97</v>
      </c>
      <c r="B30" s="17" t="s">
        <v>98</v>
      </c>
      <c r="C30" s="13" t="s">
        <v>99</v>
      </c>
      <c r="D30" s="13" t="s">
        <v>32</v>
      </c>
      <c r="E30" s="18">
        <v>19500</v>
      </c>
      <c r="F30" s="19">
        <v>395.67</v>
      </c>
      <c r="G30" s="20">
        <v>1.5E-3</v>
      </c>
      <c r="H30" s="14"/>
      <c r="I30" s="15"/>
      <c r="J30" s="1"/>
    </row>
    <row r="31" spans="1:10" ht="12.95" customHeight="1" x14ac:dyDescent="0.2">
      <c r="A31" s="16" t="s">
        <v>100</v>
      </c>
      <c r="B31" s="17" t="s">
        <v>101</v>
      </c>
      <c r="C31" s="13" t="s">
        <v>102</v>
      </c>
      <c r="D31" s="13" t="s">
        <v>32</v>
      </c>
      <c r="E31" s="18">
        <v>68200</v>
      </c>
      <c r="F31" s="19">
        <v>275.73</v>
      </c>
      <c r="G31" s="20">
        <v>1.1000000000000001E-3</v>
      </c>
      <c r="H31" s="14"/>
      <c r="I31" s="15"/>
      <c r="J31" s="1"/>
    </row>
    <row r="32" spans="1:10" ht="12.95" customHeight="1" x14ac:dyDescent="0.2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65625</v>
      </c>
      <c r="F32" s="19">
        <v>267.08999999999997</v>
      </c>
      <c r="G32" s="20">
        <v>1E-3</v>
      </c>
      <c r="H32" s="14"/>
      <c r="I32" s="15"/>
      <c r="J32" s="1"/>
    </row>
    <row r="33" spans="1:10" ht="12.95" customHeight="1" x14ac:dyDescent="0.2">
      <c r="A33" s="16" t="s">
        <v>107</v>
      </c>
      <c r="B33" s="17" t="s">
        <v>108</v>
      </c>
      <c r="C33" s="13" t="s">
        <v>109</v>
      </c>
      <c r="D33" s="13" t="s">
        <v>84</v>
      </c>
      <c r="E33" s="18">
        <v>14175</v>
      </c>
      <c r="F33" s="19">
        <v>180.02</v>
      </c>
      <c r="G33" s="20">
        <v>6.9999999999999999E-4</v>
      </c>
      <c r="H33" s="14"/>
      <c r="I33" s="15"/>
      <c r="J33" s="1"/>
    </row>
    <row r="34" spans="1:10" ht="12.95" customHeight="1" x14ac:dyDescent="0.2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7875</v>
      </c>
      <c r="F34" s="19">
        <v>148.21</v>
      </c>
      <c r="G34" s="20">
        <v>5.9999999999999995E-4</v>
      </c>
      <c r="H34" s="14"/>
      <c r="I34" s="15"/>
      <c r="J34" s="1"/>
    </row>
    <row r="35" spans="1:10" ht="12.95" customHeight="1" x14ac:dyDescent="0.2">
      <c r="A35" s="16" t="s">
        <v>114</v>
      </c>
      <c r="B35" s="17" t="s">
        <v>115</v>
      </c>
      <c r="C35" s="13" t="s">
        <v>116</v>
      </c>
      <c r="D35" s="13" t="s">
        <v>76</v>
      </c>
      <c r="E35" s="18">
        <v>27600</v>
      </c>
      <c r="F35" s="19">
        <v>119.29</v>
      </c>
      <c r="G35" s="20">
        <v>5.0000000000000001E-4</v>
      </c>
      <c r="H35" s="14"/>
      <c r="I35" s="15"/>
      <c r="J35" s="1"/>
    </row>
    <row r="36" spans="1:10" ht="12.95" customHeight="1" x14ac:dyDescent="0.2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9100</v>
      </c>
      <c r="F36" s="19">
        <v>88.67</v>
      </c>
      <c r="G36" s="20">
        <v>2.9999999999999997E-4</v>
      </c>
      <c r="H36" s="14"/>
      <c r="I36" s="15"/>
      <c r="J36" s="1"/>
    </row>
    <row r="37" spans="1:10" ht="12.95" customHeight="1" x14ac:dyDescent="0.2">
      <c r="A37" s="16" t="s">
        <v>121</v>
      </c>
      <c r="B37" s="17" t="s">
        <v>122</v>
      </c>
      <c r="C37" s="13" t="s">
        <v>123</v>
      </c>
      <c r="D37" s="13" t="s">
        <v>58</v>
      </c>
      <c r="E37" s="18">
        <v>14400</v>
      </c>
      <c r="F37" s="19">
        <v>25.07</v>
      </c>
      <c r="G37" s="20">
        <v>1E-4</v>
      </c>
      <c r="H37" s="14"/>
      <c r="I37" s="15"/>
      <c r="J37" s="1"/>
    </row>
    <row r="38" spans="1:10" ht="12.95" customHeight="1" x14ac:dyDescent="0.2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1800</v>
      </c>
      <c r="F38" s="19">
        <v>20.28</v>
      </c>
      <c r="G38" s="20">
        <v>1E-4</v>
      </c>
      <c r="H38" s="14"/>
      <c r="I38" s="15"/>
      <c r="J38" s="1"/>
    </row>
    <row r="39" spans="1:10" ht="12.95" customHeight="1" x14ac:dyDescent="0.2">
      <c r="A39" s="16" t="s">
        <v>128</v>
      </c>
      <c r="B39" s="17" t="s">
        <v>129</v>
      </c>
      <c r="C39" s="13" t="s">
        <v>130</v>
      </c>
      <c r="D39" s="13" t="s">
        <v>32</v>
      </c>
      <c r="E39" s="18">
        <v>2350</v>
      </c>
      <c r="F39" s="19">
        <v>6.03</v>
      </c>
      <c r="G39" s="20" t="s">
        <v>131</v>
      </c>
      <c r="H39" s="14"/>
      <c r="I39" s="15"/>
      <c r="J39" s="1"/>
    </row>
    <row r="40" spans="1:10" ht="12.95" customHeight="1" x14ac:dyDescent="0.2">
      <c r="A40" s="1"/>
      <c r="B40" s="21" t="s">
        <v>49</v>
      </c>
      <c r="C40" s="22"/>
      <c r="D40" s="22"/>
      <c r="E40" s="22"/>
      <c r="F40" s="23">
        <f>SUM(F18:F39)</f>
        <v>30982.239999999994</v>
      </c>
      <c r="G40" s="24">
        <f>SUM(G18:G39)</f>
        <v>0.1188</v>
      </c>
      <c r="H40" s="25"/>
      <c r="I40" s="26"/>
      <c r="J40" s="1"/>
    </row>
    <row r="41" spans="1:10" ht="12.95" customHeight="1" x14ac:dyDescent="0.2">
      <c r="A41" s="1"/>
      <c r="B41" s="12" t="s">
        <v>132</v>
      </c>
      <c r="C41" s="13"/>
      <c r="D41" s="13"/>
      <c r="E41" s="13"/>
      <c r="F41" s="1"/>
      <c r="G41" s="14"/>
      <c r="H41" s="14"/>
      <c r="I41" s="15"/>
      <c r="J41" s="1"/>
    </row>
    <row r="42" spans="1:10" ht="12.95" customHeight="1" x14ac:dyDescent="0.2">
      <c r="A42" s="16" t="s">
        <v>133</v>
      </c>
      <c r="B42" s="17" t="s">
        <v>134</v>
      </c>
      <c r="C42" s="13" t="s">
        <v>135</v>
      </c>
      <c r="D42" s="13" t="s">
        <v>88</v>
      </c>
      <c r="E42" s="18">
        <v>4219738</v>
      </c>
      <c r="F42" s="19">
        <v>14409.56</v>
      </c>
      <c r="G42" s="20">
        <v>5.5100000000000003E-2</v>
      </c>
      <c r="H42" s="14"/>
      <c r="I42" s="15"/>
      <c r="J42" s="1"/>
    </row>
    <row r="43" spans="1:10" ht="12.95" customHeight="1" x14ac:dyDescent="0.2">
      <c r="A43" s="16" t="s">
        <v>136</v>
      </c>
      <c r="B43" s="17" t="s">
        <v>137</v>
      </c>
      <c r="C43" s="13" t="s">
        <v>138</v>
      </c>
      <c r="D43" s="13" t="s">
        <v>88</v>
      </c>
      <c r="E43" s="18">
        <v>3245255</v>
      </c>
      <c r="F43" s="19">
        <v>14213.89</v>
      </c>
      <c r="G43" s="20">
        <v>5.4399999999999997E-2</v>
      </c>
      <c r="H43" s="14"/>
      <c r="I43" s="15"/>
      <c r="J43" s="1"/>
    </row>
    <row r="44" spans="1:10" ht="12.95" customHeight="1" x14ac:dyDescent="0.2">
      <c r="A44" s="1"/>
      <c r="B44" s="21" t="s">
        <v>49</v>
      </c>
      <c r="C44" s="22"/>
      <c r="D44" s="22"/>
      <c r="E44" s="22"/>
      <c r="F44" s="23">
        <f>SUM(F42:F43)</f>
        <v>28623.449999999997</v>
      </c>
      <c r="G44" s="24">
        <v>0.1095</v>
      </c>
      <c r="H44" s="25"/>
      <c r="I44" s="26"/>
      <c r="J44" s="1"/>
    </row>
    <row r="45" spans="1:10" ht="12.95" customHeight="1" x14ac:dyDescent="0.2">
      <c r="A45" s="1"/>
      <c r="B45" s="21" t="s">
        <v>139</v>
      </c>
      <c r="C45" s="27"/>
      <c r="D45" s="22"/>
      <c r="E45" s="27"/>
      <c r="F45" s="23">
        <v>97990.39</v>
      </c>
      <c r="G45" s="24">
        <v>0.37540000000000001</v>
      </c>
      <c r="H45" s="25"/>
      <c r="I45" s="26"/>
      <c r="J45" s="1"/>
    </row>
    <row r="46" spans="1:10" ht="12.95" customHeight="1" x14ac:dyDescent="0.2">
      <c r="A46" s="1"/>
      <c r="B46" s="12" t="s">
        <v>140</v>
      </c>
      <c r="C46" s="13"/>
      <c r="D46" s="13"/>
      <c r="E46" s="13"/>
      <c r="F46" s="13"/>
      <c r="G46" s="13"/>
      <c r="H46" s="14"/>
      <c r="I46" s="15"/>
      <c r="J46" s="1"/>
    </row>
    <row r="47" spans="1:10" ht="12.95" customHeight="1" x14ac:dyDescent="0.2">
      <c r="A47" s="1"/>
      <c r="B47" s="12" t="s">
        <v>141</v>
      </c>
      <c r="C47" s="13"/>
      <c r="D47" s="13"/>
      <c r="E47" s="13"/>
      <c r="F47" s="1"/>
      <c r="G47" s="14"/>
      <c r="H47" s="14"/>
      <c r="I47" s="15"/>
      <c r="J47" s="1"/>
    </row>
    <row r="48" spans="1:10" ht="12.95" customHeight="1" x14ac:dyDescent="0.2">
      <c r="A48" s="16" t="s">
        <v>142</v>
      </c>
      <c r="B48" s="17" t="s">
        <v>143</v>
      </c>
      <c r="C48" s="13" t="s">
        <v>144</v>
      </c>
      <c r="D48" s="13" t="s">
        <v>145</v>
      </c>
      <c r="E48" s="18">
        <v>10000000</v>
      </c>
      <c r="F48" s="19">
        <v>10039.5</v>
      </c>
      <c r="G48" s="20">
        <v>3.8399999999999997E-2</v>
      </c>
      <c r="H48" s="28">
        <v>7.2475999999999999E-2</v>
      </c>
      <c r="I48" s="15"/>
      <c r="J48" s="1"/>
    </row>
    <row r="49" spans="1:10" ht="12.95" customHeight="1" x14ac:dyDescent="0.2">
      <c r="A49" s="16" t="s">
        <v>146</v>
      </c>
      <c r="B49" s="17" t="s">
        <v>147</v>
      </c>
      <c r="C49" s="13" t="s">
        <v>148</v>
      </c>
      <c r="D49" s="13" t="s">
        <v>145</v>
      </c>
      <c r="E49" s="18">
        <v>10000000</v>
      </c>
      <c r="F49" s="19">
        <v>9999.08</v>
      </c>
      <c r="G49" s="20">
        <v>3.8300000000000001E-2</v>
      </c>
      <c r="H49" s="28">
        <v>7.2475999999999999E-2</v>
      </c>
      <c r="I49" s="15"/>
      <c r="J49" s="1"/>
    </row>
    <row r="50" spans="1:10" ht="12.95" customHeight="1" x14ac:dyDescent="0.2">
      <c r="A50" s="16" t="s">
        <v>149</v>
      </c>
      <c r="B50" s="17" t="s">
        <v>150</v>
      </c>
      <c r="C50" s="13" t="s">
        <v>151</v>
      </c>
      <c r="D50" s="13" t="s">
        <v>145</v>
      </c>
      <c r="E50" s="18">
        <v>7500000</v>
      </c>
      <c r="F50" s="19">
        <v>7710.87</v>
      </c>
      <c r="G50" s="20">
        <v>2.9499999999999998E-2</v>
      </c>
      <c r="H50" s="28">
        <v>7.1123000000000006E-2</v>
      </c>
      <c r="I50" s="15"/>
      <c r="J50" s="1"/>
    </row>
    <row r="51" spans="1:10" ht="12.95" customHeight="1" x14ac:dyDescent="0.2">
      <c r="A51" s="16" t="s">
        <v>152</v>
      </c>
      <c r="B51" s="17" t="s">
        <v>153</v>
      </c>
      <c r="C51" s="13" t="s">
        <v>154</v>
      </c>
      <c r="D51" s="13" t="s">
        <v>155</v>
      </c>
      <c r="E51" s="18">
        <v>7500</v>
      </c>
      <c r="F51" s="19">
        <v>7474.67</v>
      </c>
      <c r="G51" s="20">
        <v>2.86E-2</v>
      </c>
      <c r="H51" s="28">
        <v>7.8399999999999997E-2</v>
      </c>
      <c r="I51" s="15"/>
      <c r="J51" s="1"/>
    </row>
    <row r="52" spans="1:10" ht="12.95" customHeight="1" x14ac:dyDescent="0.2">
      <c r="A52" s="16" t="s">
        <v>156</v>
      </c>
      <c r="B52" s="17" t="s">
        <v>157</v>
      </c>
      <c r="C52" s="13" t="s">
        <v>158</v>
      </c>
      <c r="D52" s="13" t="s">
        <v>145</v>
      </c>
      <c r="E52" s="18">
        <v>7000000</v>
      </c>
      <c r="F52" s="19">
        <v>7126.55</v>
      </c>
      <c r="G52" s="20">
        <v>2.7300000000000001E-2</v>
      </c>
      <c r="H52" s="28">
        <v>7.3724999999999999E-2</v>
      </c>
      <c r="I52" s="15"/>
      <c r="J52" s="1"/>
    </row>
    <row r="53" spans="1:10" ht="12.95" customHeight="1" x14ac:dyDescent="0.2">
      <c r="A53" s="16" t="s">
        <v>159</v>
      </c>
      <c r="B53" s="17" t="s">
        <v>160</v>
      </c>
      <c r="C53" s="13" t="s">
        <v>161</v>
      </c>
      <c r="D53" s="13" t="s">
        <v>145</v>
      </c>
      <c r="E53" s="18">
        <v>5000000</v>
      </c>
      <c r="F53" s="19">
        <v>5112.5200000000004</v>
      </c>
      <c r="G53" s="20">
        <v>1.9599999999999999E-2</v>
      </c>
      <c r="H53" s="28">
        <v>7.2700000000000001E-2</v>
      </c>
      <c r="I53" s="15"/>
      <c r="J53" s="1"/>
    </row>
    <row r="54" spans="1:10" ht="12.95" customHeight="1" x14ac:dyDescent="0.2">
      <c r="A54" s="16" t="s">
        <v>162</v>
      </c>
      <c r="B54" s="17" t="s">
        <v>163</v>
      </c>
      <c r="C54" s="13" t="s">
        <v>164</v>
      </c>
      <c r="D54" s="13" t="s">
        <v>165</v>
      </c>
      <c r="E54" s="18">
        <v>5000</v>
      </c>
      <c r="F54" s="19">
        <v>5027.03</v>
      </c>
      <c r="G54" s="20">
        <v>1.9199999999999998E-2</v>
      </c>
      <c r="H54" s="28">
        <v>7.4300000000000005E-2</v>
      </c>
      <c r="I54" s="15"/>
      <c r="J54" s="1"/>
    </row>
    <row r="55" spans="1:10" ht="12.95" customHeight="1" x14ac:dyDescent="0.2">
      <c r="A55" s="16" t="s">
        <v>166</v>
      </c>
      <c r="B55" s="17" t="s">
        <v>167</v>
      </c>
      <c r="C55" s="13" t="s">
        <v>168</v>
      </c>
      <c r="D55" s="13" t="s">
        <v>145</v>
      </c>
      <c r="E55" s="18">
        <v>5000000</v>
      </c>
      <c r="F55" s="19">
        <v>5004.68</v>
      </c>
      <c r="G55" s="20">
        <v>1.9199999999999998E-2</v>
      </c>
      <c r="H55" s="28">
        <v>7.1787000000000004E-2</v>
      </c>
      <c r="I55" s="15"/>
      <c r="J55" s="1"/>
    </row>
    <row r="56" spans="1:10" ht="12.95" customHeight="1" x14ac:dyDescent="0.2">
      <c r="A56" s="16" t="s">
        <v>169</v>
      </c>
      <c r="B56" s="17" t="s">
        <v>170</v>
      </c>
      <c r="C56" s="13" t="s">
        <v>171</v>
      </c>
      <c r="D56" s="13" t="s">
        <v>145</v>
      </c>
      <c r="E56" s="18">
        <v>5000000</v>
      </c>
      <c r="F56" s="19">
        <v>4997.8900000000003</v>
      </c>
      <c r="G56" s="20">
        <v>1.9099999999999999E-2</v>
      </c>
      <c r="H56" s="28">
        <v>7.1411000000000002E-2</v>
      </c>
      <c r="I56" s="15"/>
      <c r="J56" s="1"/>
    </row>
    <row r="57" spans="1:10" ht="12.95" customHeight="1" x14ac:dyDescent="0.2">
      <c r="A57" s="16" t="s">
        <v>172</v>
      </c>
      <c r="B57" s="17" t="s">
        <v>173</v>
      </c>
      <c r="C57" s="13" t="s">
        <v>174</v>
      </c>
      <c r="D57" s="13" t="s">
        <v>145</v>
      </c>
      <c r="E57" s="18">
        <v>5000000</v>
      </c>
      <c r="F57" s="19">
        <v>4993.99</v>
      </c>
      <c r="G57" s="20">
        <v>1.9099999999999999E-2</v>
      </c>
      <c r="H57" s="28">
        <v>7.1018999999999999E-2</v>
      </c>
      <c r="I57" s="15"/>
      <c r="J57" s="1"/>
    </row>
    <row r="58" spans="1:10" ht="12.95" customHeight="1" x14ac:dyDescent="0.2">
      <c r="A58" s="16" t="s">
        <v>175</v>
      </c>
      <c r="B58" s="17" t="s">
        <v>176</v>
      </c>
      <c r="C58" s="13" t="s">
        <v>177</v>
      </c>
      <c r="D58" s="13" t="s">
        <v>155</v>
      </c>
      <c r="E58" s="18">
        <v>5000</v>
      </c>
      <c r="F58" s="19">
        <v>4966.8900000000003</v>
      </c>
      <c r="G58" s="20">
        <v>1.9E-2</v>
      </c>
      <c r="H58" s="28">
        <v>7.7499999999999999E-2</v>
      </c>
      <c r="I58" s="15"/>
      <c r="J58" s="1"/>
    </row>
    <row r="59" spans="1:10" ht="12.95" customHeight="1" x14ac:dyDescent="0.2">
      <c r="A59" s="16" t="s">
        <v>178</v>
      </c>
      <c r="B59" s="17" t="s">
        <v>179</v>
      </c>
      <c r="C59" s="13" t="s">
        <v>180</v>
      </c>
      <c r="D59" s="13" t="s">
        <v>155</v>
      </c>
      <c r="E59" s="18">
        <v>5000</v>
      </c>
      <c r="F59" s="19">
        <v>4922.3</v>
      </c>
      <c r="G59" s="20">
        <v>1.8800000000000001E-2</v>
      </c>
      <c r="H59" s="28">
        <v>7.85E-2</v>
      </c>
      <c r="I59" s="15"/>
      <c r="J59" s="1"/>
    </row>
    <row r="60" spans="1:10" ht="12.95" customHeight="1" x14ac:dyDescent="0.2">
      <c r="A60" s="16" t="s">
        <v>181</v>
      </c>
      <c r="B60" s="17" t="s">
        <v>182</v>
      </c>
      <c r="C60" s="13" t="s">
        <v>183</v>
      </c>
      <c r="D60" s="13" t="s">
        <v>145</v>
      </c>
      <c r="E60" s="18">
        <v>3500000</v>
      </c>
      <c r="F60" s="19">
        <v>3614.79</v>
      </c>
      <c r="G60" s="20">
        <v>1.38E-2</v>
      </c>
      <c r="H60" s="28">
        <v>7.2700000000000001E-2</v>
      </c>
      <c r="I60" s="15"/>
      <c r="J60" s="1"/>
    </row>
    <row r="61" spans="1:10" ht="12.95" customHeight="1" x14ac:dyDescent="0.2">
      <c r="A61" s="16" t="s">
        <v>184</v>
      </c>
      <c r="B61" s="17" t="s">
        <v>185</v>
      </c>
      <c r="C61" s="13" t="s">
        <v>186</v>
      </c>
      <c r="D61" s="13" t="s">
        <v>145</v>
      </c>
      <c r="E61" s="18">
        <v>3500000</v>
      </c>
      <c r="F61" s="19">
        <v>3588.18</v>
      </c>
      <c r="G61" s="20">
        <v>1.37E-2</v>
      </c>
      <c r="H61" s="28">
        <v>7.3762999999999995E-2</v>
      </c>
      <c r="I61" s="15"/>
      <c r="J61" s="1"/>
    </row>
    <row r="62" spans="1:10" ht="12.95" customHeight="1" x14ac:dyDescent="0.2">
      <c r="A62" s="16" t="s">
        <v>187</v>
      </c>
      <c r="B62" s="17" t="s">
        <v>188</v>
      </c>
      <c r="C62" s="13" t="s">
        <v>189</v>
      </c>
      <c r="D62" s="13" t="s">
        <v>145</v>
      </c>
      <c r="E62" s="18">
        <v>3179500</v>
      </c>
      <c r="F62" s="19">
        <v>3250.21</v>
      </c>
      <c r="G62" s="20">
        <v>1.24E-2</v>
      </c>
      <c r="H62" s="28">
        <v>7.1681999999999996E-2</v>
      </c>
      <c r="I62" s="15"/>
      <c r="J62" s="1"/>
    </row>
    <row r="63" spans="1:10" ht="12.95" customHeight="1" x14ac:dyDescent="0.2">
      <c r="A63" s="16" t="s">
        <v>190</v>
      </c>
      <c r="B63" s="17" t="s">
        <v>191</v>
      </c>
      <c r="C63" s="13" t="s">
        <v>192</v>
      </c>
      <c r="D63" s="13" t="s">
        <v>145</v>
      </c>
      <c r="E63" s="18">
        <v>2500000</v>
      </c>
      <c r="F63" s="19">
        <v>2575.75</v>
      </c>
      <c r="G63" s="20">
        <v>9.9000000000000008E-3</v>
      </c>
      <c r="H63" s="28">
        <v>7.0918999999999996E-2</v>
      </c>
      <c r="I63" s="15"/>
      <c r="J63" s="1"/>
    </row>
    <row r="64" spans="1:10" ht="12.95" customHeight="1" x14ac:dyDescent="0.2">
      <c r="A64" s="16" t="s">
        <v>193</v>
      </c>
      <c r="B64" s="17" t="s">
        <v>194</v>
      </c>
      <c r="C64" s="13" t="s">
        <v>195</v>
      </c>
      <c r="D64" s="13" t="s">
        <v>145</v>
      </c>
      <c r="E64" s="18">
        <v>2500000</v>
      </c>
      <c r="F64" s="19">
        <v>2568.5700000000002</v>
      </c>
      <c r="G64" s="20">
        <v>9.7999999999999997E-3</v>
      </c>
      <c r="H64" s="28">
        <v>7.1123000000000006E-2</v>
      </c>
      <c r="I64" s="15"/>
      <c r="J64" s="1"/>
    </row>
    <row r="65" spans="1:10" ht="12.95" customHeight="1" x14ac:dyDescent="0.2">
      <c r="A65" s="16" t="s">
        <v>196</v>
      </c>
      <c r="B65" s="17" t="s">
        <v>197</v>
      </c>
      <c r="C65" s="13" t="s">
        <v>198</v>
      </c>
      <c r="D65" s="13" t="s">
        <v>145</v>
      </c>
      <c r="E65" s="18">
        <v>2500000</v>
      </c>
      <c r="F65" s="19">
        <v>2561.31</v>
      </c>
      <c r="G65" s="20">
        <v>9.7999999999999997E-3</v>
      </c>
      <c r="H65" s="28">
        <v>6.5273999999999999E-2</v>
      </c>
      <c r="I65" s="15"/>
      <c r="J65" s="1"/>
    </row>
    <row r="66" spans="1:10" ht="12.95" customHeight="1" x14ac:dyDescent="0.2">
      <c r="A66" s="16" t="s">
        <v>199</v>
      </c>
      <c r="B66" s="17" t="s">
        <v>200</v>
      </c>
      <c r="C66" s="13" t="s">
        <v>201</v>
      </c>
      <c r="D66" s="13" t="s">
        <v>145</v>
      </c>
      <c r="E66" s="18">
        <v>2500000</v>
      </c>
      <c r="F66" s="19">
        <v>2532.1999999999998</v>
      </c>
      <c r="G66" s="20">
        <v>9.7000000000000003E-3</v>
      </c>
      <c r="H66" s="28">
        <v>7.1304000000000006E-2</v>
      </c>
      <c r="I66" s="15"/>
      <c r="J66" s="1"/>
    </row>
    <row r="67" spans="1:10" ht="12.95" customHeight="1" x14ac:dyDescent="0.2">
      <c r="A67" s="16" t="s">
        <v>202</v>
      </c>
      <c r="B67" s="17" t="s">
        <v>203</v>
      </c>
      <c r="C67" s="13" t="s">
        <v>204</v>
      </c>
      <c r="D67" s="13" t="s">
        <v>145</v>
      </c>
      <c r="E67" s="18">
        <v>2500000</v>
      </c>
      <c r="F67" s="19">
        <v>2519.21</v>
      </c>
      <c r="G67" s="20">
        <v>9.5999999999999992E-3</v>
      </c>
      <c r="H67" s="28">
        <v>7.3724999999999999E-2</v>
      </c>
      <c r="I67" s="15"/>
      <c r="J67" s="1"/>
    </row>
    <row r="68" spans="1:10" ht="12.95" customHeight="1" x14ac:dyDescent="0.2">
      <c r="A68" s="16" t="s">
        <v>205</v>
      </c>
      <c r="B68" s="17" t="s">
        <v>206</v>
      </c>
      <c r="C68" s="13" t="s">
        <v>207</v>
      </c>
      <c r="D68" s="13" t="s">
        <v>155</v>
      </c>
      <c r="E68" s="18">
        <v>2500</v>
      </c>
      <c r="F68" s="19">
        <v>2517.66</v>
      </c>
      <c r="G68" s="20">
        <v>9.5999999999999992E-3</v>
      </c>
      <c r="H68" s="28">
        <v>7.85E-2</v>
      </c>
      <c r="I68" s="15"/>
      <c r="J68" s="1"/>
    </row>
    <row r="69" spans="1:10" ht="12.95" customHeight="1" x14ac:dyDescent="0.2">
      <c r="A69" s="16" t="s">
        <v>208</v>
      </c>
      <c r="B69" s="17" t="s">
        <v>209</v>
      </c>
      <c r="C69" s="13" t="s">
        <v>210</v>
      </c>
      <c r="D69" s="13" t="s">
        <v>155</v>
      </c>
      <c r="E69" s="18">
        <v>2500</v>
      </c>
      <c r="F69" s="19">
        <v>2511.4899999999998</v>
      </c>
      <c r="G69" s="20">
        <v>9.5999999999999992E-3</v>
      </c>
      <c r="H69" s="28">
        <v>7.5700000000000003E-2</v>
      </c>
      <c r="I69" s="15"/>
      <c r="J69" s="1"/>
    </row>
    <row r="70" spans="1:10" ht="12.95" customHeight="1" x14ac:dyDescent="0.2">
      <c r="A70" s="16" t="s">
        <v>211</v>
      </c>
      <c r="B70" s="17" t="s">
        <v>212</v>
      </c>
      <c r="C70" s="13" t="s">
        <v>213</v>
      </c>
      <c r="D70" s="13" t="s">
        <v>155</v>
      </c>
      <c r="E70" s="18">
        <v>2500</v>
      </c>
      <c r="F70" s="19">
        <v>2504.5100000000002</v>
      </c>
      <c r="G70" s="20">
        <v>9.5999999999999992E-3</v>
      </c>
      <c r="H70" s="28">
        <v>7.4050000000000005E-2</v>
      </c>
      <c r="I70" s="15"/>
      <c r="J70" s="1"/>
    </row>
    <row r="71" spans="1:10" ht="12.95" customHeight="1" x14ac:dyDescent="0.2">
      <c r="A71" s="16" t="s">
        <v>214</v>
      </c>
      <c r="B71" s="17" t="s">
        <v>215</v>
      </c>
      <c r="C71" s="13" t="s">
        <v>216</v>
      </c>
      <c r="D71" s="13" t="s">
        <v>145</v>
      </c>
      <c r="E71" s="18">
        <v>2500000</v>
      </c>
      <c r="F71" s="19">
        <v>2503.66</v>
      </c>
      <c r="G71" s="20">
        <v>9.5999999999999992E-3</v>
      </c>
      <c r="H71" s="28">
        <v>7.4893000000000001E-2</v>
      </c>
      <c r="I71" s="15"/>
      <c r="J71" s="1"/>
    </row>
    <row r="72" spans="1:10" ht="12.95" customHeight="1" x14ac:dyDescent="0.2">
      <c r="A72" s="16" t="s">
        <v>217</v>
      </c>
      <c r="B72" s="17" t="s">
        <v>218</v>
      </c>
      <c r="C72" s="13" t="s">
        <v>219</v>
      </c>
      <c r="D72" s="13" t="s">
        <v>155</v>
      </c>
      <c r="E72" s="18">
        <v>2500</v>
      </c>
      <c r="F72" s="19">
        <v>2499.58</v>
      </c>
      <c r="G72" s="20">
        <v>9.5999999999999992E-3</v>
      </c>
      <c r="H72" s="28">
        <v>7.3999999999999996E-2</v>
      </c>
      <c r="I72" s="15"/>
      <c r="J72" s="1"/>
    </row>
    <row r="73" spans="1:10" ht="12.95" customHeight="1" x14ac:dyDescent="0.2">
      <c r="A73" s="16" t="s">
        <v>220</v>
      </c>
      <c r="B73" s="17" t="s">
        <v>221</v>
      </c>
      <c r="C73" s="13" t="s">
        <v>222</v>
      </c>
      <c r="D73" s="13" t="s">
        <v>155</v>
      </c>
      <c r="E73" s="18">
        <v>2500</v>
      </c>
      <c r="F73" s="19">
        <v>2498.83</v>
      </c>
      <c r="G73" s="20">
        <v>9.5999999999999992E-3</v>
      </c>
      <c r="H73" s="28">
        <v>7.5700000000000003E-2</v>
      </c>
      <c r="I73" s="15"/>
      <c r="J73" s="1"/>
    </row>
    <row r="74" spans="1:10" ht="12.95" customHeight="1" x14ac:dyDescent="0.2">
      <c r="A74" s="16" t="s">
        <v>223</v>
      </c>
      <c r="B74" s="17" t="s">
        <v>224</v>
      </c>
      <c r="C74" s="13" t="s">
        <v>225</v>
      </c>
      <c r="D74" s="13" t="s">
        <v>145</v>
      </c>
      <c r="E74" s="18">
        <v>2500000</v>
      </c>
      <c r="F74" s="19">
        <v>2497.31</v>
      </c>
      <c r="G74" s="20">
        <v>9.5999999999999992E-3</v>
      </c>
      <c r="H74" s="28">
        <v>7.2889999999999996E-2</v>
      </c>
      <c r="I74" s="15"/>
      <c r="J74" s="1"/>
    </row>
    <row r="75" spans="1:10" ht="12.95" customHeight="1" x14ac:dyDescent="0.2">
      <c r="A75" s="16" t="s">
        <v>226</v>
      </c>
      <c r="B75" s="17" t="s">
        <v>227</v>
      </c>
      <c r="C75" s="13" t="s">
        <v>228</v>
      </c>
      <c r="D75" s="13" t="s">
        <v>155</v>
      </c>
      <c r="E75" s="18">
        <v>2500</v>
      </c>
      <c r="F75" s="19">
        <v>2495.9699999999998</v>
      </c>
      <c r="G75" s="20">
        <v>9.5999999999999992E-3</v>
      </c>
      <c r="H75" s="28">
        <v>7.4349999999999999E-2</v>
      </c>
      <c r="I75" s="15"/>
      <c r="J75" s="1"/>
    </row>
    <row r="76" spans="1:10" ht="12.95" customHeight="1" x14ac:dyDescent="0.2">
      <c r="A76" s="16" t="s">
        <v>229</v>
      </c>
      <c r="B76" s="17" t="s">
        <v>230</v>
      </c>
      <c r="C76" s="13" t="s">
        <v>231</v>
      </c>
      <c r="D76" s="13" t="s">
        <v>145</v>
      </c>
      <c r="E76" s="18">
        <v>2500000</v>
      </c>
      <c r="F76" s="19">
        <v>2486.9699999999998</v>
      </c>
      <c r="G76" s="20">
        <v>9.4999999999999998E-3</v>
      </c>
      <c r="H76" s="28">
        <v>7.2889999999999996E-2</v>
      </c>
      <c r="I76" s="15"/>
      <c r="J76" s="1"/>
    </row>
    <row r="77" spans="1:10" ht="12.95" customHeight="1" x14ac:dyDescent="0.2">
      <c r="A77" s="16" t="s">
        <v>232</v>
      </c>
      <c r="B77" s="17" t="s">
        <v>233</v>
      </c>
      <c r="C77" s="13" t="s">
        <v>234</v>
      </c>
      <c r="D77" s="13" t="s">
        <v>155</v>
      </c>
      <c r="E77" s="18">
        <v>2500</v>
      </c>
      <c r="F77" s="19">
        <v>2456.9699999999998</v>
      </c>
      <c r="G77" s="20">
        <v>9.4000000000000004E-3</v>
      </c>
      <c r="H77" s="28">
        <v>7.5999999999999998E-2</v>
      </c>
      <c r="I77" s="15"/>
      <c r="J77" s="1"/>
    </row>
    <row r="78" spans="1:10" ht="12.95" customHeight="1" x14ac:dyDescent="0.2">
      <c r="A78" s="16" t="s">
        <v>235</v>
      </c>
      <c r="B78" s="17" t="s">
        <v>236</v>
      </c>
      <c r="C78" s="13" t="s">
        <v>237</v>
      </c>
      <c r="D78" s="13" t="s">
        <v>145</v>
      </c>
      <c r="E78" s="18">
        <v>2300100</v>
      </c>
      <c r="F78" s="19">
        <v>2364.11</v>
      </c>
      <c r="G78" s="20">
        <v>8.9999999999999993E-3</v>
      </c>
      <c r="H78" s="28">
        <v>7.2475999999999999E-2</v>
      </c>
      <c r="I78" s="15"/>
      <c r="J78" s="1"/>
    </row>
    <row r="79" spans="1:10" ht="12.95" customHeight="1" x14ac:dyDescent="0.2">
      <c r="A79" s="16" t="s">
        <v>238</v>
      </c>
      <c r="B79" s="17" t="s">
        <v>239</v>
      </c>
      <c r="C79" s="13" t="s">
        <v>240</v>
      </c>
      <c r="D79" s="13" t="s">
        <v>145</v>
      </c>
      <c r="E79" s="18">
        <v>2000000</v>
      </c>
      <c r="F79" s="19">
        <v>1982.19</v>
      </c>
      <c r="G79" s="20">
        <v>7.6E-3</v>
      </c>
      <c r="H79" s="28">
        <v>7.1201E-2</v>
      </c>
      <c r="I79" s="15"/>
      <c r="J79" s="1"/>
    </row>
    <row r="80" spans="1:10" ht="12.95" customHeight="1" x14ac:dyDescent="0.2">
      <c r="A80" s="16" t="s">
        <v>241</v>
      </c>
      <c r="B80" s="17" t="s">
        <v>242</v>
      </c>
      <c r="C80" s="13" t="s">
        <v>243</v>
      </c>
      <c r="D80" s="13" t="s">
        <v>145</v>
      </c>
      <c r="E80" s="18">
        <v>1500000</v>
      </c>
      <c r="F80" s="19">
        <v>1520.09</v>
      </c>
      <c r="G80" s="20">
        <v>5.7999999999999996E-3</v>
      </c>
      <c r="H80" s="28">
        <v>7.1304000000000006E-2</v>
      </c>
      <c r="I80" s="15"/>
      <c r="J80" s="1"/>
    </row>
    <row r="81" spans="1:10" ht="12.95" customHeight="1" x14ac:dyDescent="0.2">
      <c r="A81" s="16" t="s">
        <v>244</v>
      </c>
      <c r="B81" s="17" t="s">
        <v>245</v>
      </c>
      <c r="C81" s="13" t="s">
        <v>246</v>
      </c>
      <c r="D81" s="13" t="s">
        <v>145</v>
      </c>
      <c r="E81" s="18">
        <v>1000000</v>
      </c>
      <c r="F81" s="19">
        <v>1028.8599999999999</v>
      </c>
      <c r="G81" s="20">
        <v>3.8999999999999998E-3</v>
      </c>
      <c r="H81" s="28">
        <v>7.0682999999999996E-2</v>
      </c>
      <c r="I81" s="15"/>
      <c r="J81" s="1"/>
    </row>
    <row r="82" spans="1:10" ht="12.95" customHeight="1" x14ac:dyDescent="0.2">
      <c r="A82" s="16" t="s">
        <v>247</v>
      </c>
      <c r="B82" s="17" t="s">
        <v>248</v>
      </c>
      <c r="C82" s="13" t="s">
        <v>249</v>
      </c>
      <c r="D82" s="13" t="s">
        <v>145</v>
      </c>
      <c r="E82" s="18">
        <v>1000000</v>
      </c>
      <c r="F82" s="19">
        <v>1027.53</v>
      </c>
      <c r="G82" s="20">
        <v>3.8999999999999998E-3</v>
      </c>
      <c r="H82" s="28">
        <v>7.3568999999999996E-2</v>
      </c>
      <c r="I82" s="15"/>
      <c r="J82" s="1"/>
    </row>
    <row r="83" spans="1:10" ht="12.95" customHeight="1" x14ac:dyDescent="0.2">
      <c r="A83" s="16" t="s">
        <v>250</v>
      </c>
      <c r="B83" s="17" t="s">
        <v>251</v>
      </c>
      <c r="C83" s="13" t="s">
        <v>252</v>
      </c>
      <c r="D83" s="13" t="s">
        <v>145</v>
      </c>
      <c r="E83" s="18">
        <v>1000000</v>
      </c>
      <c r="F83" s="19">
        <v>1027.04</v>
      </c>
      <c r="G83" s="20">
        <v>3.8999999999999998E-3</v>
      </c>
      <c r="H83" s="28">
        <v>7.2475999999999999E-2</v>
      </c>
      <c r="I83" s="15"/>
      <c r="J83" s="1"/>
    </row>
    <row r="84" spans="1:10" ht="12.95" customHeight="1" x14ac:dyDescent="0.2">
      <c r="A84" s="16" t="s">
        <v>253</v>
      </c>
      <c r="B84" s="17" t="s">
        <v>254</v>
      </c>
      <c r="C84" s="13" t="s">
        <v>255</v>
      </c>
      <c r="D84" s="13" t="s">
        <v>145</v>
      </c>
      <c r="E84" s="18">
        <v>1000000</v>
      </c>
      <c r="F84" s="19">
        <v>1026.3</v>
      </c>
      <c r="G84" s="20">
        <v>3.8999999999999998E-3</v>
      </c>
      <c r="H84" s="28">
        <v>7.0682999999999996E-2</v>
      </c>
      <c r="I84" s="15"/>
      <c r="J84" s="1"/>
    </row>
    <row r="85" spans="1:10" ht="12.95" customHeight="1" x14ac:dyDescent="0.2">
      <c r="A85" s="16" t="s">
        <v>256</v>
      </c>
      <c r="B85" s="17" t="s">
        <v>257</v>
      </c>
      <c r="C85" s="13" t="s">
        <v>258</v>
      </c>
      <c r="D85" s="13" t="s">
        <v>145</v>
      </c>
      <c r="E85" s="18">
        <v>1000000</v>
      </c>
      <c r="F85" s="19">
        <v>1023.19</v>
      </c>
      <c r="G85" s="20">
        <v>3.8999999999999998E-3</v>
      </c>
      <c r="H85" s="28">
        <v>7.1123000000000006E-2</v>
      </c>
      <c r="I85" s="15"/>
      <c r="J85" s="1"/>
    </row>
    <row r="86" spans="1:10" ht="12.95" customHeight="1" x14ac:dyDescent="0.2">
      <c r="A86" s="16" t="s">
        <v>259</v>
      </c>
      <c r="B86" s="17" t="s">
        <v>260</v>
      </c>
      <c r="C86" s="13" t="s">
        <v>261</v>
      </c>
      <c r="D86" s="13" t="s">
        <v>145</v>
      </c>
      <c r="E86" s="18">
        <v>1000000</v>
      </c>
      <c r="F86" s="19">
        <v>1007.82</v>
      </c>
      <c r="G86" s="20">
        <v>3.8999999999999998E-3</v>
      </c>
      <c r="H86" s="28">
        <v>7.3762999999999995E-2</v>
      </c>
      <c r="I86" s="15"/>
      <c r="J86" s="1"/>
    </row>
    <row r="87" spans="1:10" ht="12.95" customHeight="1" x14ac:dyDescent="0.2">
      <c r="A87" s="16" t="s">
        <v>262</v>
      </c>
      <c r="B87" s="17" t="s">
        <v>263</v>
      </c>
      <c r="C87" s="13" t="s">
        <v>264</v>
      </c>
      <c r="D87" s="13" t="s">
        <v>145</v>
      </c>
      <c r="E87" s="18">
        <v>1000000</v>
      </c>
      <c r="F87" s="19">
        <v>1007.21</v>
      </c>
      <c r="G87" s="20">
        <v>3.8999999999999998E-3</v>
      </c>
      <c r="H87" s="28">
        <v>7.3724999999999999E-2</v>
      </c>
      <c r="I87" s="15"/>
      <c r="J87" s="1"/>
    </row>
    <row r="88" spans="1:10" ht="12.95" customHeight="1" x14ac:dyDescent="0.2">
      <c r="A88" s="16" t="s">
        <v>265</v>
      </c>
      <c r="B88" s="17" t="s">
        <v>266</v>
      </c>
      <c r="C88" s="13" t="s">
        <v>267</v>
      </c>
      <c r="D88" s="13" t="s">
        <v>145</v>
      </c>
      <c r="E88" s="18">
        <v>1000000</v>
      </c>
      <c r="F88" s="19">
        <v>1002.56</v>
      </c>
      <c r="G88" s="20">
        <v>3.8E-3</v>
      </c>
      <c r="H88" s="28">
        <v>7.1411000000000002E-2</v>
      </c>
      <c r="I88" s="15"/>
      <c r="J88" s="1"/>
    </row>
    <row r="89" spans="1:10" ht="12.95" customHeight="1" x14ac:dyDescent="0.2">
      <c r="A89" s="16" t="s">
        <v>268</v>
      </c>
      <c r="B89" s="17" t="s">
        <v>269</v>
      </c>
      <c r="C89" s="13" t="s">
        <v>270</v>
      </c>
      <c r="D89" s="13" t="s">
        <v>145</v>
      </c>
      <c r="E89" s="18">
        <v>1000000</v>
      </c>
      <c r="F89" s="19">
        <v>987.16</v>
      </c>
      <c r="G89" s="20">
        <v>3.8E-3</v>
      </c>
      <c r="H89" s="28">
        <v>7.2596999999999995E-2</v>
      </c>
      <c r="I89" s="15"/>
      <c r="J89" s="1"/>
    </row>
    <row r="90" spans="1:10" ht="12.95" customHeight="1" x14ac:dyDescent="0.2">
      <c r="A90" s="16" t="s">
        <v>271</v>
      </c>
      <c r="B90" s="17" t="s">
        <v>272</v>
      </c>
      <c r="C90" s="13" t="s">
        <v>273</v>
      </c>
      <c r="D90" s="13" t="s">
        <v>155</v>
      </c>
      <c r="E90" s="18">
        <v>1000</v>
      </c>
      <c r="F90" s="19">
        <v>986.5</v>
      </c>
      <c r="G90" s="20">
        <v>3.8E-3</v>
      </c>
      <c r="H90" s="28">
        <v>7.6850000000000002E-2</v>
      </c>
      <c r="I90" s="15"/>
      <c r="J90" s="1"/>
    </row>
    <row r="91" spans="1:10" ht="12.95" customHeight="1" x14ac:dyDescent="0.2">
      <c r="A91" s="16" t="s">
        <v>274</v>
      </c>
      <c r="B91" s="17" t="s">
        <v>275</v>
      </c>
      <c r="C91" s="13" t="s">
        <v>276</v>
      </c>
      <c r="D91" s="13" t="s">
        <v>145</v>
      </c>
      <c r="E91" s="18">
        <v>1000000</v>
      </c>
      <c r="F91" s="19">
        <v>980.44</v>
      </c>
      <c r="G91" s="20">
        <v>3.8E-3</v>
      </c>
      <c r="H91" s="28">
        <v>7.3659000000000002E-2</v>
      </c>
      <c r="I91" s="15"/>
      <c r="J91" s="1"/>
    </row>
    <row r="92" spans="1:10" ht="12.95" customHeight="1" x14ac:dyDescent="0.2">
      <c r="A92" s="16" t="s">
        <v>277</v>
      </c>
      <c r="B92" s="17" t="s">
        <v>278</v>
      </c>
      <c r="C92" s="13" t="s">
        <v>279</v>
      </c>
      <c r="D92" s="13" t="s">
        <v>145</v>
      </c>
      <c r="E92" s="18">
        <v>1000000</v>
      </c>
      <c r="F92" s="19">
        <v>973.9</v>
      </c>
      <c r="G92" s="20">
        <v>3.7000000000000002E-3</v>
      </c>
      <c r="H92" s="28">
        <v>7.2596999999999995E-2</v>
      </c>
      <c r="I92" s="15"/>
      <c r="J92" s="1"/>
    </row>
    <row r="93" spans="1:10" ht="12.95" customHeight="1" x14ac:dyDescent="0.2">
      <c r="A93" s="16" t="s">
        <v>280</v>
      </c>
      <c r="B93" s="17" t="s">
        <v>281</v>
      </c>
      <c r="C93" s="13" t="s">
        <v>282</v>
      </c>
      <c r="D93" s="13" t="s">
        <v>145</v>
      </c>
      <c r="E93" s="18">
        <v>500000</v>
      </c>
      <c r="F93" s="19">
        <v>529.4</v>
      </c>
      <c r="G93" s="20">
        <v>2E-3</v>
      </c>
      <c r="H93" s="28">
        <v>7.1677000000000005E-2</v>
      </c>
      <c r="I93" s="15"/>
      <c r="J93" s="1"/>
    </row>
    <row r="94" spans="1:10" ht="12.95" customHeight="1" x14ac:dyDescent="0.2">
      <c r="A94" s="16" t="s">
        <v>283</v>
      </c>
      <c r="B94" s="17" t="s">
        <v>284</v>
      </c>
      <c r="C94" s="13" t="s">
        <v>285</v>
      </c>
      <c r="D94" s="13" t="s">
        <v>145</v>
      </c>
      <c r="E94" s="18">
        <v>500000</v>
      </c>
      <c r="F94" s="19">
        <v>518.07000000000005</v>
      </c>
      <c r="G94" s="20">
        <v>2E-3</v>
      </c>
      <c r="H94" s="28">
        <v>7.1304000000000006E-2</v>
      </c>
      <c r="I94" s="15"/>
      <c r="J94" s="1"/>
    </row>
    <row r="95" spans="1:10" ht="12.95" customHeight="1" x14ac:dyDescent="0.2">
      <c r="A95" s="16" t="s">
        <v>286</v>
      </c>
      <c r="B95" s="17" t="s">
        <v>287</v>
      </c>
      <c r="C95" s="13" t="s">
        <v>288</v>
      </c>
      <c r="D95" s="13" t="s">
        <v>145</v>
      </c>
      <c r="E95" s="18">
        <v>500000</v>
      </c>
      <c r="F95" s="19">
        <v>511.82</v>
      </c>
      <c r="G95" s="20">
        <v>2E-3</v>
      </c>
      <c r="H95" s="28">
        <v>7.2037000000000004E-2</v>
      </c>
      <c r="I95" s="15"/>
      <c r="J95" s="1"/>
    </row>
    <row r="96" spans="1:10" ht="12.95" customHeight="1" x14ac:dyDescent="0.2">
      <c r="A96" s="16" t="s">
        <v>289</v>
      </c>
      <c r="B96" s="17" t="s">
        <v>290</v>
      </c>
      <c r="C96" s="13" t="s">
        <v>291</v>
      </c>
      <c r="D96" s="13" t="s">
        <v>145</v>
      </c>
      <c r="E96" s="18">
        <v>500000</v>
      </c>
      <c r="F96" s="19">
        <v>511.68</v>
      </c>
      <c r="G96" s="20">
        <v>2E-3</v>
      </c>
      <c r="H96" s="28">
        <v>7.4398000000000006E-2</v>
      </c>
      <c r="I96" s="15"/>
      <c r="J96" s="1"/>
    </row>
    <row r="97" spans="1:10" ht="12.95" customHeight="1" x14ac:dyDescent="0.2">
      <c r="A97" s="16" t="s">
        <v>292</v>
      </c>
      <c r="B97" s="17" t="s">
        <v>293</v>
      </c>
      <c r="C97" s="13" t="s">
        <v>294</v>
      </c>
      <c r="D97" s="13" t="s">
        <v>145</v>
      </c>
      <c r="E97" s="18">
        <v>500000</v>
      </c>
      <c r="F97" s="19">
        <v>503.92</v>
      </c>
      <c r="G97" s="20">
        <v>1.9E-3</v>
      </c>
      <c r="H97" s="28">
        <v>7.3724999999999999E-2</v>
      </c>
      <c r="I97" s="15"/>
      <c r="J97" s="1"/>
    </row>
    <row r="98" spans="1:10" ht="12.95" customHeight="1" x14ac:dyDescent="0.2">
      <c r="A98" s="16" t="s">
        <v>295</v>
      </c>
      <c r="B98" s="17" t="s">
        <v>296</v>
      </c>
      <c r="C98" s="13" t="s">
        <v>297</v>
      </c>
      <c r="D98" s="13" t="s">
        <v>145</v>
      </c>
      <c r="E98" s="18">
        <v>500000</v>
      </c>
      <c r="F98" s="19">
        <v>502.19</v>
      </c>
      <c r="G98" s="20">
        <v>1.9E-3</v>
      </c>
      <c r="H98" s="28">
        <v>7.1787000000000004E-2</v>
      </c>
      <c r="I98" s="15"/>
      <c r="J98" s="1"/>
    </row>
    <row r="99" spans="1:10" ht="12.95" customHeight="1" x14ac:dyDescent="0.2">
      <c r="A99" s="16" t="s">
        <v>298</v>
      </c>
      <c r="B99" s="17" t="s">
        <v>299</v>
      </c>
      <c r="C99" s="13" t="s">
        <v>300</v>
      </c>
      <c r="D99" s="13" t="s">
        <v>145</v>
      </c>
      <c r="E99" s="18">
        <v>500000</v>
      </c>
      <c r="F99" s="19">
        <v>501.67</v>
      </c>
      <c r="G99" s="20">
        <v>1.9E-3</v>
      </c>
      <c r="H99" s="28">
        <v>7.1858000000000005E-2</v>
      </c>
      <c r="I99" s="15"/>
      <c r="J99" s="1"/>
    </row>
    <row r="100" spans="1:10" ht="12.95" customHeight="1" x14ac:dyDescent="0.2">
      <c r="A100" s="16" t="s">
        <v>301</v>
      </c>
      <c r="B100" s="17" t="s">
        <v>302</v>
      </c>
      <c r="C100" s="13" t="s">
        <v>303</v>
      </c>
      <c r="D100" s="13" t="s">
        <v>145</v>
      </c>
      <c r="E100" s="18">
        <v>500000</v>
      </c>
      <c r="F100" s="19">
        <v>490.13</v>
      </c>
      <c r="G100" s="20">
        <v>1.9E-3</v>
      </c>
      <c r="H100" s="28">
        <v>7.4293999999999999E-2</v>
      </c>
      <c r="I100" s="15"/>
      <c r="J100" s="1"/>
    </row>
    <row r="101" spans="1:10" ht="12.95" customHeight="1" x14ac:dyDescent="0.2">
      <c r="A101" s="1"/>
      <c r="B101" s="21" t="s">
        <v>49</v>
      </c>
      <c r="C101" s="22"/>
      <c r="D101" s="22"/>
      <c r="E101" s="22"/>
      <c r="F101" s="23">
        <v>147572.92000000001</v>
      </c>
      <c r="G101" s="24">
        <v>0.56469999999999998</v>
      </c>
      <c r="H101" s="25"/>
      <c r="I101" s="26"/>
      <c r="J101" s="1"/>
    </row>
    <row r="102" spans="1:10" ht="12.95" customHeight="1" x14ac:dyDescent="0.2">
      <c r="A102" s="1"/>
      <c r="B102" s="21" t="s">
        <v>139</v>
      </c>
      <c r="C102" s="27"/>
      <c r="D102" s="22"/>
      <c r="E102" s="27"/>
      <c r="F102" s="23">
        <v>147572.92000000001</v>
      </c>
      <c r="G102" s="24">
        <v>0.56469999999999998</v>
      </c>
      <c r="H102" s="25"/>
      <c r="I102" s="26"/>
      <c r="J102" s="1"/>
    </row>
    <row r="103" spans="1:10" ht="12.95" customHeight="1" x14ac:dyDescent="0.2">
      <c r="A103" s="1"/>
      <c r="B103" s="12" t="s">
        <v>304</v>
      </c>
      <c r="C103" s="13"/>
      <c r="D103" s="13"/>
      <c r="E103" s="13"/>
      <c r="F103" s="13"/>
      <c r="G103" s="13"/>
      <c r="H103" s="14"/>
      <c r="I103" s="15"/>
      <c r="J103" s="1"/>
    </row>
    <row r="104" spans="1:10" ht="12.95" customHeight="1" x14ac:dyDescent="0.2">
      <c r="A104" s="1"/>
      <c r="B104" s="12" t="s">
        <v>305</v>
      </c>
      <c r="C104" s="13"/>
      <c r="D104" s="13"/>
      <c r="E104" s="13"/>
      <c r="F104" s="1"/>
      <c r="G104" s="14"/>
      <c r="H104" s="14"/>
      <c r="I104" s="15"/>
      <c r="J104" s="1"/>
    </row>
    <row r="105" spans="1:10" ht="12.95" customHeight="1" x14ac:dyDescent="0.2">
      <c r="A105" s="16" t="s">
        <v>306</v>
      </c>
      <c r="B105" s="17" t="s">
        <v>307</v>
      </c>
      <c r="C105" s="13" t="s">
        <v>308</v>
      </c>
      <c r="D105" s="13" t="s">
        <v>145</v>
      </c>
      <c r="E105" s="18">
        <v>500000</v>
      </c>
      <c r="F105" s="19">
        <v>475.16</v>
      </c>
      <c r="G105" s="20">
        <v>1.8E-3</v>
      </c>
      <c r="H105" s="28">
        <v>5.7126999999999997E-2</v>
      </c>
      <c r="I105" s="15"/>
      <c r="J105" s="1"/>
    </row>
    <row r="106" spans="1:10" ht="12.95" customHeight="1" x14ac:dyDescent="0.2">
      <c r="A106" s="1"/>
      <c r="B106" s="21" t="s">
        <v>49</v>
      </c>
      <c r="C106" s="22"/>
      <c r="D106" s="22"/>
      <c r="E106" s="22"/>
      <c r="F106" s="23">
        <v>475.16</v>
      </c>
      <c r="G106" s="24">
        <v>1.8E-3</v>
      </c>
      <c r="H106" s="25"/>
      <c r="I106" s="26"/>
      <c r="J106" s="1"/>
    </row>
    <row r="107" spans="1:10" ht="12.95" customHeight="1" x14ac:dyDescent="0.2">
      <c r="A107" s="1"/>
      <c r="B107" s="21" t="s">
        <v>139</v>
      </c>
      <c r="C107" s="27"/>
      <c r="D107" s="22"/>
      <c r="E107" s="27"/>
      <c r="F107" s="23">
        <v>475.16</v>
      </c>
      <c r="G107" s="24">
        <v>1.8E-3</v>
      </c>
      <c r="H107" s="25"/>
      <c r="I107" s="26"/>
      <c r="J107" s="1"/>
    </row>
    <row r="108" spans="1:10" ht="12.95" customHeight="1" x14ac:dyDescent="0.2">
      <c r="A108" s="1"/>
      <c r="B108" s="12" t="s">
        <v>309</v>
      </c>
      <c r="C108" s="13"/>
      <c r="D108" s="13"/>
      <c r="E108" s="13"/>
      <c r="F108" s="13"/>
      <c r="G108" s="13"/>
      <c r="H108" s="14"/>
      <c r="I108" s="15"/>
      <c r="J108" s="1"/>
    </row>
    <row r="109" spans="1:10" ht="12.95" customHeight="1" x14ac:dyDescent="0.2">
      <c r="A109" s="1"/>
      <c r="B109" s="12" t="s">
        <v>310</v>
      </c>
      <c r="C109" s="13"/>
      <c r="D109" s="13"/>
      <c r="E109" s="13"/>
      <c r="F109" s="1"/>
      <c r="G109" s="14"/>
      <c r="H109" s="14"/>
      <c r="I109" s="15"/>
      <c r="J109" s="1"/>
    </row>
    <row r="110" spans="1:10" ht="12.95" customHeight="1" x14ac:dyDescent="0.2">
      <c r="A110" s="16" t="s">
        <v>311</v>
      </c>
      <c r="B110" s="17" t="s">
        <v>312</v>
      </c>
      <c r="C110" s="13" t="s">
        <v>313</v>
      </c>
      <c r="D110" s="13" t="s">
        <v>314</v>
      </c>
      <c r="E110" s="18">
        <v>573164.495</v>
      </c>
      <c r="F110" s="19">
        <v>8935.56</v>
      </c>
      <c r="G110" s="20">
        <v>3.4200000000000001E-2</v>
      </c>
      <c r="H110" s="28"/>
      <c r="I110" s="15"/>
      <c r="J110" s="1"/>
    </row>
    <row r="111" spans="1:10" ht="12.95" customHeight="1" x14ac:dyDescent="0.2">
      <c r="A111" s="1"/>
      <c r="B111" s="21" t="s">
        <v>49</v>
      </c>
      <c r="C111" s="22"/>
      <c r="D111" s="22"/>
      <c r="E111" s="22"/>
      <c r="F111" s="23">
        <v>8935.56</v>
      </c>
      <c r="G111" s="24">
        <v>3.4200000000000001E-2</v>
      </c>
      <c r="H111" s="25"/>
      <c r="I111" s="26"/>
      <c r="J111" s="1"/>
    </row>
    <row r="112" spans="1:10" ht="12.95" customHeight="1" x14ac:dyDescent="0.2">
      <c r="A112" s="1"/>
      <c r="B112" s="21" t="s">
        <v>139</v>
      </c>
      <c r="C112" s="27"/>
      <c r="D112" s="22"/>
      <c r="E112" s="27"/>
      <c r="F112" s="23">
        <v>8935.56</v>
      </c>
      <c r="G112" s="24">
        <v>3.4200000000000001E-2</v>
      </c>
      <c r="H112" s="25"/>
      <c r="I112" s="26"/>
      <c r="J112" s="1"/>
    </row>
    <row r="113" spans="1:10" ht="12.95" customHeight="1" x14ac:dyDescent="0.2">
      <c r="A113" s="1"/>
      <c r="B113" s="12" t="s">
        <v>315</v>
      </c>
      <c r="C113" s="13"/>
      <c r="D113" s="13"/>
      <c r="E113" s="13"/>
      <c r="F113" s="13"/>
      <c r="G113" s="13"/>
      <c r="H113" s="14"/>
      <c r="I113" s="15"/>
      <c r="J113" s="1"/>
    </row>
    <row r="114" spans="1:10" ht="12.95" customHeight="1" x14ac:dyDescent="0.2">
      <c r="A114" s="16" t="s">
        <v>316</v>
      </c>
      <c r="B114" s="17" t="s">
        <v>316</v>
      </c>
      <c r="C114" s="13"/>
      <c r="D114" s="13" t="s">
        <v>314</v>
      </c>
      <c r="E114" s="18"/>
      <c r="F114" s="19">
        <v>1379.63</v>
      </c>
      <c r="G114" s="20">
        <v>5.3E-3</v>
      </c>
      <c r="H114" s="28">
        <v>4.9427307473567134E-2</v>
      </c>
      <c r="I114" s="15"/>
      <c r="J114" s="1"/>
    </row>
    <row r="115" spans="1:10" ht="12.95" customHeight="1" x14ac:dyDescent="0.2">
      <c r="A115" s="1"/>
      <c r="B115" s="21" t="s">
        <v>49</v>
      </c>
      <c r="C115" s="22"/>
      <c r="D115" s="22"/>
      <c r="E115" s="22"/>
      <c r="F115" s="23">
        <v>1379.63</v>
      </c>
      <c r="G115" s="24">
        <v>5.3E-3</v>
      </c>
      <c r="H115" s="25"/>
      <c r="I115" s="26"/>
      <c r="J115" s="1"/>
    </row>
    <row r="116" spans="1:10" ht="12.95" customHeight="1" x14ac:dyDescent="0.2">
      <c r="A116" s="1"/>
      <c r="B116" s="21" t="s">
        <v>317</v>
      </c>
      <c r="C116" s="22"/>
      <c r="D116" s="22"/>
      <c r="E116" s="22"/>
      <c r="F116" s="25" t="s">
        <v>318</v>
      </c>
      <c r="G116" s="25" t="s">
        <v>318</v>
      </c>
      <c r="H116" s="25"/>
      <c r="I116" s="26"/>
      <c r="J116" s="1"/>
    </row>
    <row r="117" spans="1:10" ht="12.95" customHeight="1" x14ac:dyDescent="0.2">
      <c r="A117" s="1"/>
      <c r="B117" s="21" t="s">
        <v>49</v>
      </c>
      <c r="C117" s="22"/>
      <c r="D117" s="22"/>
      <c r="E117" s="22"/>
      <c r="F117" s="25" t="s">
        <v>318</v>
      </c>
      <c r="G117" s="25" t="s">
        <v>318</v>
      </c>
      <c r="H117" s="25"/>
      <c r="I117" s="26"/>
      <c r="J117" s="1"/>
    </row>
    <row r="118" spans="1:10" ht="12.95" customHeight="1" x14ac:dyDescent="0.2">
      <c r="A118" s="1"/>
      <c r="B118" s="21" t="s">
        <v>139</v>
      </c>
      <c r="C118" s="27"/>
      <c r="D118" s="22"/>
      <c r="E118" s="27"/>
      <c r="F118" s="23">
        <v>1379.63</v>
      </c>
      <c r="G118" s="24">
        <v>5.3E-3</v>
      </c>
      <c r="H118" s="25"/>
      <c r="I118" s="26"/>
      <c r="J118" s="1"/>
    </row>
    <row r="119" spans="1:10" ht="12.95" customHeight="1" x14ac:dyDescent="0.2">
      <c r="A119" s="1"/>
      <c r="B119" s="21" t="s">
        <v>319</v>
      </c>
      <c r="C119" s="13"/>
      <c r="D119" s="22"/>
      <c r="E119" s="13"/>
      <c r="F119" s="29">
        <f>36030.16+E148</f>
        <v>4938.1800000000039</v>
      </c>
      <c r="G119" s="24">
        <f>13.76%+F148</f>
        <v>1.8600000000000005E-2</v>
      </c>
      <c r="H119" s="25"/>
      <c r="I119" s="26"/>
      <c r="J119" s="1"/>
    </row>
    <row r="120" spans="1:10" ht="12.95" customHeight="1" x14ac:dyDescent="0.2">
      <c r="A120" s="1"/>
      <c r="B120" s="30" t="s">
        <v>320</v>
      </c>
      <c r="C120" s="31"/>
      <c r="D120" s="31"/>
      <c r="E120" s="31"/>
      <c r="F120" s="32">
        <v>261291.84</v>
      </c>
      <c r="G120" s="33">
        <v>1</v>
      </c>
      <c r="H120" s="34"/>
      <c r="I120" s="35"/>
      <c r="J120" s="1"/>
    </row>
    <row r="122" spans="1:10" ht="12.95" customHeight="1" x14ac:dyDescent="0.2">
      <c r="A122" s="1"/>
      <c r="B122" s="6" t="s">
        <v>321</v>
      </c>
      <c r="C122" s="5"/>
      <c r="D122" s="5"/>
      <c r="E122" s="5"/>
      <c r="F122" s="5"/>
      <c r="G122" s="36"/>
      <c r="H122" s="1"/>
    </row>
    <row r="123" spans="1:10" ht="12.95" customHeight="1" x14ac:dyDescent="0.2">
      <c r="A123" s="1"/>
      <c r="B123" s="37" t="s">
        <v>3</v>
      </c>
      <c r="C123" s="37" t="s">
        <v>322</v>
      </c>
      <c r="D123" s="37" t="s">
        <v>6</v>
      </c>
      <c r="E123" s="37" t="s">
        <v>323</v>
      </c>
      <c r="F123" s="37" t="s">
        <v>324</v>
      </c>
      <c r="G123" s="38" t="s">
        <v>325</v>
      </c>
      <c r="H123" s="1"/>
    </row>
    <row r="124" spans="1:10" ht="12.95" customHeight="1" x14ac:dyDescent="0.2">
      <c r="A124" s="1"/>
      <c r="B124" s="37" t="s">
        <v>326</v>
      </c>
      <c r="C124" s="37"/>
      <c r="D124" s="37"/>
      <c r="E124" s="39"/>
      <c r="F124" s="38"/>
      <c r="G124" s="38"/>
      <c r="H124" s="1"/>
    </row>
    <row r="125" spans="1:10" ht="12.95" customHeight="1" x14ac:dyDescent="0.2">
      <c r="A125" s="16" t="s">
        <v>327</v>
      </c>
      <c r="B125" s="17" t="s">
        <v>328</v>
      </c>
      <c r="C125" s="13" t="s">
        <v>329</v>
      </c>
      <c r="D125" s="19">
        <v>-582000</v>
      </c>
      <c r="E125" s="19">
        <v>-7631.77</v>
      </c>
      <c r="F125" s="20">
        <v>-2.92E-2</v>
      </c>
      <c r="G125" s="15"/>
      <c r="H125" s="1"/>
    </row>
    <row r="126" spans="1:10" ht="12.95" customHeight="1" x14ac:dyDescent="0.2">
      <c r="A126" s="16" t="s">
        <v>330</v>
      </c>
      <c r="B126" s="17" t="s">
        <v>331</v>
      </c>
      <c r="C126" s="13" t="s">
        <v>329</v>
      </c>
      <c r="D126" s="19">
        <v>-705250</v>
      </c>
      <c r="E126" s="19">
        <v>-5303.48</v>
      </c>
      <c r="F126" s="20">
        <v>-2.0299999999999999E-2</v>
      </c>
      <c r="G126" s="15"/>
      <c r="H126" s="1"/>
    </row>
    <row r="127" spans="1:10" ht="12.95" customHeight="1" x14ac:dyDescent="0.2">
      <c r="A127" s="16" t="s">
        <v>332</v>
      </c>
      <c r="B127" s="17" t="s">
        <v>333</v>
      </c>
      <c r="C127" s="13" t="s">
        <v>329</v>
      </c>
      <c r="D127" s="19">
        <v>-249850</v>
      </c>
      <c r="E127" s="19">
        <v>-4938.29</v>
      </c>
      <c r="F127" s="20">
        <v>-1.89E-2</v>
      </c>
      <c r="G127" s="15"/>
      <c r="H127" s="1"/>
    </row>
    <row r="128" spans="1:10" ht="12.95" customHeight="1" x14ac:dyDescent="0.2">
      <c r="A128" s="16" t="s">
        <v>334</v>
      </c>
      <c r="B128" s="17" t="s">
        <v>335</v>
      </c>
      <c r="C128" s="13" t="s">
        <v>329</v>
      </c>
      <c r="D128" s="19">
        <v>-962000</v>
      </c>
      <c r="E128" s="19">
        <v>-3763.34</v>
      </c>
      <c r="F128" s="20">
        <v>-1.44E-2</v>
      </c>
      <c r="G128" s="15"/>
      <c r="H128" s="1"/>
    </row>
    <row r="129" spans="1:8" ht="12.95" customHeight="1" x14ac:dyDescent="0.2">
      <c r="A129" s="16" t="s">
        <v>336</v>
      </c>
      <c r="B129" s="17" t="s">
        <v>337</v>
      </c>
      <c r="C129" s="13" t="s">
        <v>329</v>
      </c>
      <c r="D129" s="19">
        <v>-121125</v>
      </c>
      <c r="E129" s="19">
        <v>-2090.13</v>
      </c>
      <c r="F129" s="20">
        <v>-8.0000000000000002E-3</v>
      </c>
      <c r="G129" s="15"/>
      <c r="H129" s="1"/>
    </row>
    <row r="130" spans="1:8" ht="12.95" customHeight="1" x14ac:dyDescent="0.2">
      <c r="A130" s="16" t="s">
        <v>338</v>
      </c>
      <c r="B130" s="17" t="s">
        <v>339</v>
      </c>
      <c r="C130" s="13" t="s">
        <v>329</v>
      </c>
      <c r="D130" s="19">
        <v>-504400</v>
      </c>
      <c r="E130" s="19">
        <v>-1533.88</v>
      </c>
      <c r="F130" s="20">
        <v>-5.8999999999999999E-3</v>
      </c>
      <c r="G130" s="15"/>
      <c r="H130" s="1"/>
    </row>
    <row r="131" spans="1:8" ht="12.95" customHeight="1" x14ac:dyDescent="0.2">
      <c r="A131" s="16" t="s">
        <v>340</v>
      </c>
      <c r="B131" s="17" t="s">
        <v>341</v>
      </c>
      <c r="C131" s="13" t="s">
        <v>329</v>
      </c>
      <c r="D131" s="19">
        <v>-8050</v>
      </c>
      <c r="E131" s="19">
        <v>-960.04</v>
      </c>
      <c r="F131" s="20">
        <v>-3.7000000000000002E-3</v>
      </c>
      <c r="G131" s="15"/>
      <c r="H131" s="1"/>
    </row>
    <row r="132" spans="1:8" ht="12.95" customHeight="1" x14ac:dyDescent="0.2">
      <c r="A132" s="16" t="s">
        <v>342</v>
      </c>
      <c r="B132" s="17" t="s">
        <v>343</v>
      </c>
      <c r="C132" s="13" t="s">
        <v>329</v>
      </c>
      <c r="D132" s="19">
        <v>-27400</v>
      </c>
      <c r="E132" s="19">
        <v>-938.26</v>
      </c>
      <c r="F132" s="20">
        <v>-3.5999999999999999E-3</v>
      </c>
      <c r="G132" s="15"/>
      <c r="H132" s="1"/>
    </row>
    <row r="133" spans="1:8" ht="12.95" customHeight="1" x14ac:dyDescent="0.2">
      <c r="A133" s="16" t="s">
        <v>344</v>
      </c>
      <c r="B133" s="17" t="s">
        <v>345</v>
      </c>
      <c r="C133" s="13" t="s">
        <v>329</v>
      </c>
      <c r="D133" s="19">
        <v>-407000</v>
      </c>
      <c r="E133" s="19">
        <v>-780.1</v>
      </c>
      <c r="F133" s="20">
        <v>-3.0000000000000001E-3</v>
      </c>
      <c r="G133" s="15"/>
      <c r="H133" s="1"/>
    </row>
    <row r="134" spans="1:8" ht="12.95" customHeight="1" x14ac:dyDescent="0.2">
      <c r="A134" s="16" t="s">
        <v>346</v>
      </c>
      <c r="B134" s="17" t="s">
        <v>347</v>
      </c>
      <c r="C134" s="13" t="s">
        <v>329</v>
      </c>
      <c r="D134" s="19">
        <v>-111150</v>
      </c>
      <c r="E134" s="19">
        <v>-734.42</v>
      </c>
      <c r="F134" s="20">
        <v>-2.8E-3</v>
      </c>
      <c r="G134" s="15"/>
      <c r="H134" s="1"/>
    </row>
    <row r="135" spans="1:8" ht="12.95" customHeight="1" x14ac:dyDescent="0.2">
      <c r="A135" s="16" t="s">
        <v>348</v>
      </c>
      <c r="B135" s="17" t="s">
        <v>349</v>
      </c>
      <c r="C135" s="13" t="s">
        <v>329</v>
      </c>
      <c r="D135" s="19">
        <v>-8750</v>
      </c>
      <c r="E135" s="19">
        <v>-430.05</v>
      </c>
      <c r="F135" s="20">
        <v>-1.6000000000000001E-3</v>
      </c>
      <c r="G135" s="15"/>
      <c r="H135" s="1"/>
    </row>
    <row r="136" spans="1:8" ht="12.95" customHeight="1" x14ac:dyDescent="0.2">
      <c r="A136" s="16" t="s">
        <v>350</v>
      </c>
      <c r="B136" s="17" t="s">
        <v>351</v>
      </c>
      <c r="C136" s="13" t="s">
        <v>329</v>
      </c>
      <c r="D136" s="19">
        <v>-19500</v>
      </c>
      <c r="E136" s="19">
        <v>-397.06</v>
      </c>
      <c r="F136" s="20">
        <v>-1.5E-3</v>
      </c>
      <c r="G136" s="15"/>
      <c r="H136" s="1"/>
    </row>
    <row r="137" spans="1:8" ht="12.95" customHeight="1" x14ac:dyDescent="0.2">
      <c r="A137" s="16" t="s">
        <v>352</v>
      </c>
      <c r="B137" s="17" t="s">
        <v>353</v>
      </c>
      <c r="C137" s="13" t="s">
        <v>329</v>
      </c>
      <c r="D137" s="19">
        <v>-465750</v>
      </c>
      <c r="E137" s="19">
        <v>-395.84</v>
      </c>
      <c r="F137" s="20">
        <v>-1.5E-3</v>
      </c>
      <c r="G137" s="15"/>
      <c r="H137" s="1"/>
    </row>
    <row r="138" spans="1:8" ht="12.95" customHeight="1" x14ac:dyDescent="0.2">
      <c r="A138" s="16" t="s">
        <v>354</v>
      </c>
      <c r="B138" s="17" t="s">
        <v>355</v>
      </c>
      <c r="C138" s="13" t="s">
        <v>329</v>
      </c>
      <c r="D138" s="19">
        <v>-68200</v>
      </c>
      <c r="E138" s="19">
        <v>-276.99</v>
      </c>
      <c r="F138" s="20">
        <v>-1.1000000000000001E-3</v>
      </c>
      <c r="G138" s="15"/>
      <c r="H138" s="1"/>
    </row>
    <row r="139" spans="1:8" ht="12.95" customHeight="1" x14ac:dyDescent="0.2">
      <c r="A139" s="16" t="s">
        <v>356</v>
      </c>
      <c r="B139" s="17" t="s">
        <v>357</v>
      </c>
      <c r="C139" s="13" t="s">
        <v>329</v>
      </c>
      <c r="D139" s="19">
        <v>-65625</v>
      </c>
      <c r="E139" s="19">
        <v>-268.47000000000003</v>
      </c>
      <c r="F139" s="20">
        <v>-1E-3</v>
      </c>
      <c r="G139" s="15"/>
      <c r="H139" s="1"/>
    </row>
    <row r="140" spans="1:8" ht="12.95" customHeight="1" x14ac:dyDescent="0.2">
      <c r="A140" s="16" t="s">
        <v>358</v>
      </c>
      <c r="B140" s="17" t="s">
        <v>359</v>
      </c>
      <c r="C140" s="13" t="s">
        <v>329</v>
      </c>
      <c r="D140" s="19">
        <v>-14175</v>
      </c>
      <c r="E140" s="19">
        <v>-181.03</v>
      </c>
      <c r="F140" s="20">
        <v>-6.9999999999999999E-4</v>
      </c>
      <c r="G140" s="15"/>
      <c r="H140" s="1"/>
    </row>
    <row r="141" spans="1:8" ht="12.95" customHeight="1" x14ac:dyDescent="0.2">
      <c r="A141" s="16" t="s">
        <v>360</v>
      </c>
      <c r="B141" s="17" t="s">
        <v>361</v>
      </c>
      <c r="C141" s="13" t="s">
        <v>329</v>
      </c>
      <c r="D141" s="19">
        <v>-7875</v>
      </c>
      <c r="E141" s="19">
        <v>-148.51</v>
      </c>
      <c r="F141" s="20">
        <v>-5.9999999999999995E-4</v>
      </c>
      <c r="G141" s="15"/>
      <c r="H141" s="1"/>
    </row>
    <row r="142" spans="1:8" ht="12.95" customHeight="1" x14ac:dyDescent="0.2">
      <c r="A142" s="16" t="s">
        <v>362</v>
      </c>
      <c r="B142" s="17" t="s">
        <v>363</v>
      </c>
      <c r="C142" s="13" t="s">
        <v>329</v>
      </c>
      <c r="D142" s="19">
        <v>-27600</v>
      </c>
      <c r="E142" s="19">
        <v>-119.94</v>
      </c>
      <c r="F142" s="20">
        <v>-5.0000000000000001E-4</v>
      </c>
      <c r="G142" s="15"/>
      <c r="H142" s="1"/>
    </row>
    <row r="143" spans="1:8" ht="12.95" customHeight="1" x14ac:dyDescent="0.2">
      <c r="A143" s="16" t="s">
        <v>364</v>
      </c>
      <c r="B143" s="17" t="s">
        <v>365</v>
      </c>
      <c r="C143" s="13" t="s">
        <v>329</v>
      </c>
      <c r="D143" s="19">
        <v>-9100</v>
      </c>
      <c r="E143" s="19">
        <v>-89.13</v>
      </c>
      <c r="F143" s="20">
        <v>-2.9999999999999997E-4</v>
      </c>
      <c r="G143" s="15"/>
      <c r="H143" s="1"/>
    </row>
    <row r="144" spans="1:8" ht="12.95" customHeight="1" x14ac:dyDescent="0.2">
      <c r="A144" s="16" t="s">
        <v>366</v>
      </c>
      <c r="B144" s="17" t="s">
        <v>367</v>
      </c>
      <c r="C144" s="13" t="s">
        <v>329</v>
      </c>
      <c r="D144" s="19">
        <v>-1225</v>
      </c>
      <c r="E144" s="19">
        <v>-59.82</v>
      </c>
      <c r="F144" s="20">
        <v>-2.0000000000000001E-4</v>
      </c>
      <c r="G144" s="15"/>
      <c r="H144" s="1"/>
    </row>
    <row r="145" spans="1:8" ht="12.95" customHeight="1" x14ac:dyDescent="0.2">
      <c r="A145" s="16" t="s">
        <v>368</v>
      </c>
      <c r="B145" s="17" t="s">
        <v>369</v>
      </c>
      <c r="C145" s="13" t="s">
        <v>329</v>
      </c>
      <c r="D145" s="19">
        <v>-14400</v>
      </c>
      <c r="E145" s="19">
        <v>-24.99</v>
      </c>
      <c r="F145" s="20">
        <v>-1E-4</v>
      </c>
      <c r="G145" s="15"/>
      <c r="H145" s="1"/>
    </row>
    <row r="146" spans="1:8" ht="12.95" customHeight="1" x14ac:dyDescent="0.2">
      <c r="A146" s="16" t="s">
        <v>370</v>
      </c>
      <c r="B146" s="17" t="s">
        <v>371</v>
      </c>
      <c r="C146" s="13" t="s">
        <v>329</v>
      </c>
      <c r="D146" s="19">
        <v>-1800</v>
      </c>
      <c r="E146" s="19">
        <v>-20.39</v>
      </c>
      <c r="F146" s="20">
        <v>-1E-4</v>
      </c>
      <c r="G146" s="15"/>
      <c r="H146" s="1"/>
    </row>
    <row r="147" spans="1:8" ht="12.95" customHeight="1" x14ac:dyDescent="0.2">
      <c r="A147" s="16" t="s">
        <v>372</v>
      </c>
      <c r="B147" s="17" t="s">
        <v>373</v>
      </c>
      <c r="C147" s="13" t="s">
        <v>329</v>
      </c>
      <c r="D147" s="19">
        <v>-2350</v>
      </c>
      <c r="E147" s="19">
        <v>-6.05</v>
      </c>
      <c r="F147" s="20" t="s">
        <v>131</v>
      </c>
      <c r="G147" s="15"/>
      <c r="H147" s="1"/>
    </row>
    <row r="148" spans="1:8" ht="12.95" customHeight="1" x14ac:dyDescent="0.2">
      <c r="A148" s="1"/>
      <c r="B148" s="21" t="s">
        <v>49</v>
      </c>
      <c r="C148" s="22"/>
      <c r="D148" s="22"/>
      <c r="E148" s="23">
        <v>-31091.98</v>
      </c>
      <c r="F148" s="24">
        <v>-0.11899999999999999</v>
      </c>
      <c r="G148" s="26"/>
      <c r="H148" s="1"/>
    </row>
    <row r="149" spans="1:8" ht="12.95" customHeight="1" x14ac:dyDescent="0.2">
      <c r="A149" s="1"/>
      <c r="B149" s="40" t="s">
        <v>139</v>
      </c>
      <c r="C149" s="31"/>
      <c r="D149" s="31"/>
      <c r="E149" s="41">
        <v>-31091.98</v>
      </c>
      <c r="F149" s="42">
        <v>-0.11899999999999999</v>
      </c>
      <c r="G149" s="43"/>
      <c r="H149" s="1"/>
    </row>
    <row r="151" spans="1:8" x14ac:dyDescent="0.2">
      <c r="B151" s="3" t="s">
        <v>374</v>
      </c>
    </row>
    <row r="152" spans="1:8" x14ac:dyDescent="0.2">
      <c r="B152" s="3" t="s">
        <v>375</v>
      </c>
    </row>
    <row r="153" spans="1:8" x14ac:dyDescent="0.2">
      <c r="B153" s="3" t="s">
        <v>376</v>
      </c>
    </row>
    <row r="154" spans="1:8" x14ac:dyDescent="0.2">
      <c r="B154" s="3" t="s">
        <v>377</v>
      </c>
    </row>
    <row r="156" spans="1:8" x14ac:dyDescent="0.2">
      <c r="B156" s="44" t="s">
        <v>378</v>
      </c>
      <c r="C156" s="45"/>
      <c r="D156" s="46"/>
      <c r="E156" s="47"/>
      <c r="F156" s="48"/>
      <c r="G156" s="48"/>
      <c r="H156" s="49"/>
    </row>
    <row r="157" spans="1:8" x14ac:dyDescent="0.2">
      <c r="B157" s="50" t="s">
        <v>379</v>
      </c>
      <c r="C157" s="51"/>
      <c r="D157" s="52"/>
      <c r="E157" s="52"/>
      <c r="F157" s="51"/>
      <c r="G157" s="53"/>
      <c r="H157" s="54"/>
    </row>
    <row r="158" spans="1:8" ht="36" x14ac:dyDescent="0.2">
      <c r="B158" s="55" t="s">
        <v>380</v>
      </c>
      <c r="C158" s="56" t="s">
        <v>381</v>
      </c>
      <c r="D158" s="57" t="s">
        <v>382</v>
      </c>
      <c r="E158" s="57" t="s">
        <v>382</v>
      </c>
      <c r="F158" s="57" t="s">
        <v>383</v>
      </c>
      <c r="G158" s="53"/>
      <c r="H158" s="54"/>
    </row>
    <row r="159" spans="1:8" x14ac:dyDescent="0.2">
      <c r="B159" s="55"/>
      <c r="C159" s="56"/>
      <c r="D159" s="57" t="s">
        <v>384</v>
      </c>
      <c r="E159" s="57" t="s">
        <v>385</v>
      </c>
      <c r="F159" s="57" t="s">
        <v>384</v>
      </c>
      <c r="G159" s="53"/>
      <c r="H159" s="54"/>
    </row>
    <row r="160" spans="1:8" x14ac:dyDescent="0.2">
      <c r="B160" s="55" t="s">
        <v>318</v>
      </c>
      <c r="C160" s="56" t="s">
        <v>318</v>
      </c>
      <c r="D160" s="56" t="s">
        <v>318</v>
      </c>
      <c r="E160" s="56" t="s">
        <v>318</v>
      </c>
      <c r="F160" s="56" t="s">
        <v>318</v>
      </c>
      <c r="G160" s="53"/>
      <c r="H160" s="54"/>
    </row>
    <row r="161" spans="2:8" x14ac:dyDescent="0.2">
      <c r="B161" s="58"/>
      <c r="C161" s="51"/>
      <c r="D161" s="51"/>
      <c r="E161" s="51"/>
      <c r="F161" s="51"/>
      <c r="G161" s="53"/>
      <c r="H161" s="54"/>
    </row>
    <row r="162" spans="2:8" x14ac:dyDescent="0.2">
      <c r="B162" s="58" t="s">
        <v>386</v>
      </c>
      <c r="C162" s="51"/>
      <c r="D162" s="59"/>
      <c r="E162" s="51"/>
      <c r="F162" s="51"/>
      <c r="G162" s="53"/>
      <c r="H162" s="54"/>
    </row>
    <row r="163" spans="2:8" x14ac:dyDescent="0.2">
      <c r="B163" s="60" t="s">
        <v>387</v>
      </c>
      <c r="C163" s="61">
        <v>46203</v>
      </c>
      <c r="D163" s="61">
        <v>46234</v>
      </c>
      <c r="E163" s="51"/>
      <c r="F163" s="51"/>
      <c r="G163" s="53"/>
      <c r="H163" s="54"/>
    </row>
    <row r="164" spans="2:8" x14ac:dyDescent="0.2">
      <c r="B164" s="60" t="s">
        <v>388</v>
      </c>
      <c r="C164" s="62"/>
      <c r="D164" s="62"/>
      <c r="E164" s="51"/>
      <c r="F164" s="51"/>
      <c r="G164" s="53"/>
      <c r="H164" s="54"/>
    </row>
    <row r="165" spans="2:8" x14ac:dyDescent="0.2">
      <c r="B165" s="63" t="s">
        <v>389</v>
      </c>
      <c r="C165" s="62">
        <v>11.835900000000001</v>
      </c>
      <c r="D165" s="62">
        <v>11.8622</v>
      </c>
      <c r="E165" s="64"/>
      <c r="F165" s="65"/>
      <c r="G165" s="66"/>
      <c r="H165" s="54"/>
    </row>
    <row r="166" spans="2:8" x14ac:dyDescent="0.2">
      <c r="B166" s="63" t="s">
        <v>390</v>
      </c>
      <c r="C166" s="62">
        <v>10.3302</v>
      </c>
      <c r="D166" s="62">
        <v>10.3117</v>
      </c>
      <c r="E166" s="67"/>
      <c r="F166" s="68"/>
      <c r="G166" s="69"/>
      <c r="H166" s="54"/>
    </row>
    <row r="167" spans="2:8" x14ac:dyDescent="0.2">
      <c r="B167" s="60" t="s">
        <v>391</v>
      </c>
      <c r="C167" s="62"/>
      <c r="D167" s="62"/>
      <c r="E167" s="64"/>
      <c r="F167" s="65"/>
      <c r="G167" s="66"/>
      <c r="H167" s="54"/>
    </row>
    <row r="168" spans="2:8" x14ac:dyDescent="0.2">
      <c r="B168" s="63" t="s">
        <v>392</v>
      </c>
      <c r="C168" s="62">
        <v>11.750999999999999</v>
      </c>
      <c r="D168" s="62">
        <v>11.7735</v>
      </c>
      <c r="E168" s="67"/>
      <c r="F168" s="68"/>
      <c r="G168" s="69"/>
      <c r="H168" s="54"/>
    </row>
    <row r="169" spans="2:8" x14ac:dyDescent="0.2">
      <c r="B169" s="63" t="s">
        <v>393</v>
      </c>
      <c r="C169" s="62">
        <v>10.0784</v>
      </c>
      <c r="D169" s="62">
        <v>10.059900000000001</v>
      </c>
      <c r="E169" s="51"/>
      <c r="H169" s="54"/>
    </row>
    <row r="170" spans="2:8" x14ac:dyDescent="0.2">
      <c r="B170" s="50"/>
      <c r="C170" s="51"/>
      <c r="D170" s="51"/>
      <c r="E170" s="51"/>
      <c r="F170" s="51"/>
      <c r="G170" s="53"/>
      <c r="H170" s="54"/>
    </row>
    <row r="171" spans="2:8" x14ac:dyDescent="0.2">
      <c r="B171" s="58" t="s">
        <v>394</v>
      </c>
      <c r="C171" s="70"/>
      <c r="D171" s="70"/>
      <c r="E171" s="70"/>
      <c r="F171" s="51"/>
      <c r="G171" s="53"/>
      <c r="H171" s="54"/>
    </row>
    <row r="172" spans="2:8" x14ac:dyDescent="0.2">
      <c r="B172" s="58"/>
      <c r="C172" s="70"/>
      <c r="D172" s="70"/>
      <c r="E172" s="70"/>
      <c r="F172" s="51"/>
      <c r="G172" s="53"/>
      <c r="H172" s="54"/>
    </row>
    <row r="173" spans="2:8" ht="24" x14ac:dyDescent="0.2">
      <c r="B173" s="71" t="s">
        <v>395</v>
      </c>
      <c r="C173" s="72" t="s">
        <v>396</v>
      </c>
      <c r="D173" s="72" t="s">
        <v>397</v>
      </c>
      <c r="E173" s="72" t="s">
        <v>398</v>
      </c>
      <c r="F173" s="51"/>
      <c r="G173" s="53"/>
      <c r="H173" s="73"/>
    </row>
    <row r="174" spans="2:8" ht="24" x14ac:dyDescent="0.2">
      <c r="B174" s="74" t="s">
        <v>399</v>
      </c>
      <c r="C174" s="75" t="s">
        <v>400</v>
      </c>
      <c r="D174" s="76">
        <v>4.133527E-2</v>
      </c>
      <c r="E174" s="76">
        <v>4.133527E-2</v>
      </c>
      <c r="F174" s="77"/>
      <c r="G174" s="53"/>
      <c r="H174" s="73"/>
    </row>
    <row r="175" spans="2:8" ht="24" x14ac:dyDescent="0.2">
      <c r="B175" s="78" t="s">
        <v>395</v>
      </c>
      <c r="C175" s="72" t="s">
        <v>401</v>
      </c>
      <c r="D175" s="72" t="s">
        <v>397</v>
      </c>
      <c r="E175" s="72" t="s">
        <v>398</v>
      </c>
      <c r="F175" s="77"/>
      <c r="G175" s="53"/>
      <c r="H175" s="73"/>
    </row>
    <row r="176" spans="2:8" ht="24" x14ac:dyDescent="0.2">
      <c r="B176" s="74" t="s">
        <v>399</v>
      </c>
      <c r="C176" s="75" t="s">
        <v>402</v>
      </c>
      <c r="D176" s="76">
        <v>3.7690149999999999E-2</v>
      </c>
      <c r="E176" s="76">
        <v>3.7690149999999999E-2</v>
      </c>
      <c r="F176" s="77"/>
      <c r="G176" s="53"/>
      <c r="H176" s="73"/>
    </row>
    <row r="177" spans="2:8" x14ac:dyDescent="0.2">
      <c r="B177" s="79"/>
      <c r="C177" s="80"/>
      <c r="D177" s="81"/>
      <c r="E177" s="81"/>
      <c r="F177" s="77"/>
      <c r="G177" s="53"/>
      <c r="H177" s="73"/>
    </row>
    <row r="178" spans="2:8" x14ac:dyDescent="0.2">
      <c r="B178" s="58" t="s">
        <v>403</v>
      </c>
      <c r="C178" s="70"/>
      <c r="D178" s="82"/>
      <c r="E178" s="70"/>
      <c r="F178" s="51"/>
      <c r="G178" s="53"/>
      <c r="H178" s="54"/>
    </row>
    <row r="179" spans="2:8" x14ac:dyDescent="0.2">
      <c r="B179" s="58"/>
      <c r="C179" s="70"/>
      <c r="D179" s="82"/>
      <c r="E179" s="70"/>
      <c r="F179" s="51"/>
      <c r="G179" s="53"/>
      <c r="H179" s="54"/>
    </row>
    <row r="180" spans="2:8" x14ac:dyDescent="0.2">
      <c r="B180" s="58" t="s">
        <v>404</v>
      </c>
      <c r="C180" s="83"/>
      <c r="D180" s="84"/>
      <c r="E180" s="85"/>
      <c r="F180" s="51"/>
      <c r="G180" s="53"/>
      <c r="H180" s="54"/>
    </row>
    <row r="181" spans="2:8" x14ac:dyDescent="0.2">
      <c r="B181" s="86" t="s">
        <v>405</v>
      </c>
      <c r="C181" s="70"/>
      <c r="D181" s="82"/>
      <c r="E181" s="70"/>
      <c r="F181" s="51"/>
      <c r="G181" s="53"/>
      <c r="H181" s="54"/>
    </row>
    <row r="182" spans="2:8" x14ac:dyDescent="0.2">
      <c r="B182" s="86"/>
      <c r="C182" s="70"/>
      <c r="D182" s="82"/>
      <c r="E182" s="82"/>
      <c r="F182" s="51"/>
      <c r="G182" s="53"/>
      <c r="H182" s="54"/>
    </row>
    <row r="183" spans="2:8" x14ac:dyDescent="0.2">
      <c r="B183" s="58" t="s">
        <v>406</v>
      </c>
      <c r="C183" s="70"/>
      <c r="D183" s="82"/>
      <c r="E183" s="82"/>
      <c r="F183" s="51"/>
      <c r="G183" s="53"/>
      <c r="H183" s="54"/>
    </row>
    <row r="184" spans="2:8" x14ac:dyDescent="0.2">
      <c r="B184" s="58"/>
      <c r="C184" s="70"/>
      <c r="D184" s="82"/>
      <c r="E184" s="82"/>
      <c r="F184" s="51"/>
      <c r="G184" s="53"/>
      <c r="H184" s="54"/>
    </row>
    <row r="185" spans="2:8" x14ac:dyDescent="0.2">
      <c r="B185" s="58" t="s">
        <v>407</v>
      </c>
      <c r="C185" s="70"/>
      <c r="D185" s="82"/>
      <c r="E185" s="82"/>
      <c r="F185" s="51"/>
      <c r="G185" s="53"/>
      <c r="H185" s="54"/>
    </row>
    <row r="186" spans="2:8" x14ac:dyDescent="0.2">
      <c r="B186" s="87"/>
      <c r="C186" s="70"/>
      <c r="D186" s="70"/>
      <c r="E186" s="82"/>
      <c r="F186" s="51"/>
      <c r="G186" s="53"/>
      <c r="H186" s="54"/>
    </row>
    <row r="187" spans="2:8" x14ac:dyDescent="0.2">
      <c r="B187" s="58" t="s">
        <v>408</v>
      </c>
      <c r="C187" s="70"/>
      <c r="D187" s="70"/>
      <c r="E187" s="70"/>
      <c r="F187" s="51"/>
      <c r="G187" s="53"/>
      <c r="H187" s="54"/>
    </row>
    <row r="188" spans="2:8" x14ac:dyDescent="0.2">
      <c r="B188" s="58"/>
      <c r="C188" s="70"/>
      <c r="D188" s="70"/>
      <c r="E188" s="70"/>
      <c r="F188" s="51"/>
      <c r="G188" s="53"/>
      <c r="H188" s="54"/>
    </row>
    <row r="189" spans="2:8" x14ac:dyDescent="0.2">
      <c r="B189" s="58" t="s">
        <v>409</v>
      </c>
      <c r="C189" s="70"/>
      <c r="D189" s="70"/>
      <c r="E189" s="70"/>
      <c r="F189" s="51"/>
      <c r="G189" s="53"/>
      <c r="H189" s="54"/>
    </row>
    <row r="190" spans="2:8" x14ac:dyDescent="0.2">
      <c r="B190" s="58"/>
      <c r="C190" s="70"/>
      <c r="D190" s="70"/>
      <c r="E190" s="70"/>
      <c r="F190" s="51"/>
      <c r="G190" s="53"/>
      <c r="H190" s="54"/>
    </row>
    <row r="191" spans="2:8" x14ac:dyDescent="0.2">
      <c r="B191" s="58" t="s">
        <v>410</v>
      </c>
      <c r="C191" s="70"/>
      <c r="D191" s="70"/>
      <c r="E191" s="70"/>
      <c r="F191" s="51"/>
      <c r="G191" s="82"/>
      <c r="H191" s="54"/>
    </row>
    <row r="192" spans="2:8" x14ac:dyDescent="0.2">
      <c r="B192" s="88" t="s">
        <v>411</v>
      </c>
      <c r="C192" s="89">
        <f>G106*100</f>
        <v>0.18</v>
      </c>
      <c r="D192" s="82"/>
      <c r="H192" s="54"/>
    </row>
    <row r="193" spans="2:8" x14ac:dyDescent="0.2">
      <c r="B193" s="88" t="s">
        <v>412</v>
      </c>
      <c r="C193" s="89">
        <f>+SUMIF(D48:D100,"Sovereign",G48:G100)*100</f>
        <v>40.83000000000002</v>
      </c>
      <c r="D193" s="82"/>
      <c r="H193" s="54"/>
    </row>
    <row r="194" spans="2:8" x14ac:dyDescent="0.2">
      <c r="B194" s="88" t="s">
        <v>413</v>
      </c>
      <c r="C194" s="89">
        <v>0</v>
      </c>
      <c r="D194" s="82"/>
      <c r="H194" s="54"/>
    </row>
    <row r="195" spans="2:8" x14ac:dyDescent="0.2">
      <c r="B195" s="88" t="s">
        <v>414</v>
      </c>
      <c r="C195" s="89">
        <f>+(G45)*100</f>
        <v>37.54</v>
      </c>
      <c r="D195" s="90"/>
      <c r="H195" s="54"/>
    </row>
    <row r="196" spans="2:8" x14ac:dyDescent="0.2">
      <c r="B196" s="88" t="s">
        <v>415</v>
      </c>
      <c r="C196" s="91">
        <f>(G101*100)-C193</f>
        <v>15.639999999999979</v>
      </c>
      <c r="D196" s="92"/>
      <c r="H196" s="54"/>
    </row>
    <row r="197" spans="2:8" x14ac:dyDescent="0.2">
      <c r="B197" s="88" t="s">
        <v>416</v>
      </c>
      <c r="C197" s="93">
        <f>100-SUM(C192:C196)</f>
        <v>5.8100000000000023</v>
      </c>
      <c r="D197" s="92"/>
      <c r="H197" s="54"/>
    </row>
    <row r="198" spans="2:8" x14ac:dyDescent="0.2">
      <c r="B198" s="58"/>
      <c r="C198" s="94"/>
      <c r="D198" s="53"/>
      <c r="H198" s="54"/>
    </row>
    <row r="199" spans="2:8" x14ac:dyDescent="0.2">
      <c r="B199" s="58"/>
      <c r="C199" s="51"/>
      <c r="D199" s="53"/>
      <c r="H199" s="54"/>
    </row>
    <row r="200" spans="2:8" x14ac:dyDescent="0.2">
      <c r="B200" s="58" t="s">
        <v>417</v>
      </c>
      <c r="C200" s="51"/>
      <c r="D200" s="53"/>
      <c r="H200" s="54"/>
    </row>
    <row r="201" spans="2:8" x14ac:dyDescent="0.2">
      <c r="B201" s="88" t="s">
        <v>418</v>
      </c>
      <c r="C201" s="95">
        <f>C192+C193</f>
        <v>41.010000000000019</v>
      </c>
      <c r="D201" s="96"/>
      <c r="H201" s="54"/>
    </row>
    <row r="202" spans="2:8" x14ac:dyDescent="0.2">
      <c r="B202" s="88" t="s">
        <v>419</v>
      </c>
      <c r="C202" s="89">
        <f>C196</f>
        <v>15.639999999999979</v>
      </c>
      <c r="D202" s="96"/>
      <c r="H202" s="54"/>
    </row>
    <row r="203" spans="2:8" x14ac:dyDescent="0.2">
      <c r="B203" s="88" t="s">
        <v>420</v>
      </c>
      <c r="C203" s="89">
        <f>C195</f>
        <v>37.54</v>
      </c>
      <c r="D203" s="97"/>
      <c r="H203" s="54"/>
    </row>
    <row r="204" spans="2:8" x14ac:dyDescent="0.2">
      <c r="B204" s="88" t="s">
        <v>421</v>
      </c>
      <c r="C204" s="89">
        <v>0</v>
      </c>
      <c r="D204" s="97"/>
      <c r="H204" s="54"/>
    </row>
    <row r="205" spans="2:8" x14ac:dyDescent="0.2">
      <c r="B205" s="88" t="s">
        <v>416</v>
      </c>
      <c r="C205" s="98">
        <f>+C197</f>
        <v>5.8100000000000023</v>
      </c>
      <c r="D205" s="96"/>
      <c r="H205" s="99"/>
    </row>
    <row r="206" spans="2:8" x14ac:dyDescent="0.2">
      <c r="B206" s="58"/>
      <c r="C206" s="100"/>
      <c r="D206" s="100"/>
      <c r="E206" s="100"/>
      <c r="F206" s="101"/>
      <c r="G206" s="53"/>
      <c r="H206" s="54"/>
    </row>
    <row r="207" spans="2:8" x14ac:dyDescent="0.2">
      <c r="B207" s="58" t="s">
        <v>422</v>
      </c>
      <c r="C207" s="100"/>
      <c r="D207" s="100"/>
      <c r="E207" s="100"/>
      <c r="F207" s="102"/>
      <c r="G207" s="53"/>
      <c r="H207" s="54"/>
    </row>
    <row r="208" spans="2:8" x14ac:dyDescent="0.2">
      <c r="B208" s="103"/>
      <c r="C208" s="100"/>
      <c r="D208" s="100"/>
      <c r="E208" s="104"/>
      <c r="F208" s="105"/>
      <c r="G208" s="104"/>
      <c r="H208" s="54"/>
    </row>
    <row r="209" spans="2:8" x14ac:dyDescent="0.2">
      <c r="B209" s="58" t="s">
        <v>423</v>
      </c>
      <c r="C209" s="100"/>
      <c r="D209" s="100"/>
      <c r="E209" s="100"/>
      <c r="F209" s="102"/>
      <c r="G209" s="53"/>
      <c r="H209" s="54"/>
    </row>
    <row r="210" spans="2:8" x14ac:dyDescent="0.2">
      <c r="B210" s="58"/>
      <c r="C210" s="100"/>
      <c r="D210" s="100"/>
      <c r="E210" s="100"/>
      <c r="F210" s="102"/>
      <c r="G210" s="53"/>
      <c r="H210" s="54"/>
    </row>
    <row r="211" spans="2:8" x14ac:dyDescent="0.2">
      <c r="B211" s="106" t="s">
        <v>424</v>
      </c>
      <c r="C211" s="107"/>
      <c r="D211" s="107"/>
      <c r="E211" s="107"/>
      <c r="F211" s="108"/>
      <c r="G211" s="53"/>
      <c r="H211" s="54"/>
    </row>
    <row r="212" spans="2:8" ht="36" x14ac:dyDescent="0.2">
      <c r="B212" s="109" t="s">
        <v>425</v>
      </c>
      <c r="C212" s="109" t="s">
        <v>426</v>
      </c>
      <c r="D212" s="109" t="s">
        <v>427</v>
      </c>
      <c r="E212" s="109" t="s">
        <v>428</v>
      </c>
      <c r="F212" s="109" t="s">
        <v>429</v>
      </c>
      <c r="G212" s="109" t="s">
        <v>430</v>
      </c>
      <c r="H212" s="54"/>
    </row>
    <row r="213" spans="2:8" x14ac:dyDescent="0.2">
      <c r="B213" s="110" t="s">
        <v>101</v>
      </c>
      <c r="C213" s="111" t="s">
        <v>431</v>
      </c>
      <c r="D213" s="110" t="s">
        <v>432</v>
      </c>
      <c r="E213" s="89">
        <v>401.97043636363634</v>
      </c>
      <c r="F213" s="89">
        <v>406.15</v>
      </c>
      <c r="G213" s="112">
        <v>6035.6636756999997</v>
      </c>
      <c r="H213" s="54"/>
    </row>
    <row r="214" spans="2:8" x14ac:dyDescent="0.2">
      <c r="B214" s="110" t="s">
        <v>122</v>
      </c>
      <c r="C214" s="111" t="s">
        <v>431</v>
      </c>
      <c r="D214" s="110" t="s">
        <v>432</v>
      </c>
      <c r="E214" s="89">
        <v>170.32</v>
      </c>
      <c r="F214" s="89">
        <v>173.54</v>
      </c>
      <c r="G214" s="113"/>
      <c r="H214" s="54"/>
    </row>
    <row r="215" spans="2:8" x14ac:dyDescent="0.2">
      <c r="B215" s="110" t="s">
        <v>98</v>
      </c>
      <c r="C215" s="111" t="s">
        <v>431</v>
      </c>
      <c r="D215" s="110" t="s">
        <v>432</v>
      </c>
      <c r="E215" s="89">
        <v>1889.8815061538462</v>
      </c>
      <c r="F215" s="89">
        <v>2036.2</v>
      </c>
      <c r="G215" s="113"/>
      <c r="H215" s="54"/>
    </row>
    <row r="216" spans="2:8" x14ac:dyDescent="0.2">
      <c r="B216" s="110" t="s">
        <v>104</v>
      </c>
      <c r="C216" s="111" t="s">
        <v>431</v>
      </c>
      <c r="D216" s="110" t="s">
        <v>432</v>
      </c>
      <c r="E216" s="89">
        <v>417.04598796190476</v>
      </c>
      <c r="F216" s="89">
        <v>409.1</v>
      </c>
      <c r="G216" s="113"/>
      <c r="H216" s="54"/>
    </row>
    <row r="217" spans="2:8" x14ac:dyDescent="0.2">
      <c r="B217" s="110" t="s">
        <v>60</v>
      </c>
      <c r="C217" s="111" t="s">
        <v>431</v>
      </c>
      <c r="D217" s="110" t="s">
        <v>432</v>
      </c>
      <c r="E217" s="89">
        <v>1883.5541095057033</v>
      </c>
      <c r="F217" s="89">
        <v>1976.5</v>
      </c>
      <c r="G217" s="113"/>
      <c r="H217" s="54"/>
    </row>
    <row r="218" spans="2:8" x14ac:dyDescent="0.2">
      <c r="B218" s="110" t="s">
        <v>125</v>
      </c>
      <c r="C218" s="111" t="s">
        <v>431</v>
      </c>
      <c r="D218" s="110" t="s">
        <v>432</v>
      </c>
      <c r="E218" s="89">
        <v>1150.4000000000001</v>
      </c>
      <c r="F218" s="89">
        <v>1132.7</v>
      </c>
      <c r="G218" s="113"/>
      <c r="H218" s="54"/>
    </row>
    <row r="219" spans="2:8" x14ac:dyDescent="0.2">
      <c r="B219" s="110" t="s">
        <v>86</v>
      </c>
      <c r="C219" s="111" t="s">
        <v>431</v>
      </c>
      <c r="D219" s="110" t="s">
        <v>432</v>
      </c>
      <c r="E219" s="89">
        <v>621.26107440395856</v>
      </c>
      <c r="F219" s="89">
        <v>660.75</v>
      </c>
      <c r="G219" s="113"/>
      <c r="H219" s="54"/>
    </row>
    <row r="220" spans="2:8" x14ac:dyDescent="0.2">
      <c r="B220" s="110" t="s">
        <v>115</v>
      </c>
      <c r="C220" s="111" t="s">
        <v>431</v>
      </c>
      <c r="D220" s="110" t="s">
        <v>432</v>
      </c>
      <c r="E220" s="89">
        <v>437.46301304347827</v>
      </c>
      <c r="F220" s="89">
        <v>434.55</v>
      </c>
      <c r="G220" s="113"/>
      <c r="H220" s="54"/>
    </row>
    <row r="221" spans="2:8" x14ac:dyDescent="0.2">
      <c r="B221" s="110" t="s">
        <v>56</v>
      </c>
      <c r="C221" s="111" t="s">
        <v>431</v>
      </c>
      <c r="D221" s="110" t="s">
        <v>432</v>
      </c>
      <c r="E221" s="89">
        <v>771.40721097483163</v>
      </c>
      <c r="F221" s="89">
        <v>752</v>
      </c>
      <c r="G221" s="113"/>
      <c r="H221" s="54"/>
    </row>
    <row r="222" spans="2:8" x14ac:dyDescent="0.2">
      <c r="B222" s="110" t="s">
        <v>118</v>
      </c>
      <c r="C222" s="111" t="s">
        <v>431</v>
      </c>
      <c r="D222" s="110" t="s">
        <v>432</v>
      </c>
      <c r="E222" s="89">
        <v>956.83076923076919</v>
      </c>
      <c r="F222" s="89">
        <v>979.4</v>
      </c>
      <c r="G222" s="113"/>
      <c r="H222" s="54"/>
    </row>
    <row r="223" spans="2:8" x14ac:dyDescent="0.2">
      <c r="B223" s="110" t="s">
        <v>108</v>
      </c>
      <c r="C223" s="111" t="s">
        <v>431</v>
      </c>
      <c r="D223" s="110" t="s">
        <v>432</v>
      </c>
      <c r="E223" s="89">
        <v>1269.4380860670194</v>
      </c>
      <c r="F223" s="89">
        <v>1277.0999999999999</v>
      </c>
      <c r="G223" s="113"/>
      <c r="H223" s="54"/>
    </row>
    <row r="224" spans="2:8" x14ac:dyDescent="0.2">
      <c r="B224" s="110" t="s">
        <v>63</v>
      </c>
      <c r="C224" s="111" t="s">
        <v>431</v>
      </c>
      <c r="D224" s="110" t="s">
        <v>432</v>
      </c>
      <c r="E224" s="89">
        <v>386.10325550935551</v>
      </c>
      <c r="F224" s="89">
        <v>391.2</v>
      </c>
      <c r="G224" s="113"/>
      <c r="H224" s="54"/>
    </row>
    <row r="225" spans="2:8" x14ac:dyDescent="0.2">
      <c r="B225" s="110" t="s">
        <v>78</v>
      </c>
      <c r="C225" s="111" t="s">
        <v>433</v>
      </c>
      <c r="D225" s="110" t="s">
        <v>432</v>
      </c>
      <c r="E225" s="89">
        <v>3208</v>
      </c>
      <c r="F225" s="89">
        <v>3424.3</v>
      </c>
      <c r="G225" s="113"/>
      <c r="H225" s="54"/>
    </row>
    <row r="226" spans="2:8" x14ac:dyDescent="0.2">
      <c r="B226" s="110" t="s">
        <v>66</v>
      </c>
      <c r="C226" s="111" t="s">
        <v>431</v>
      </c>
      <c r="D226" s="110" t="s">
        <v>432</v>
      </c>
      <c r="E226" s="89">
        <v>1531.4136999793602</v>
      </c>
      <c r="F226" s="89">
        <v>1725.6</v>
      </c>
      <c r="G226" s="113"/>
      <c r="H226" s="54"/>
    </row>
    <row r="227" spans="2:8" x14ac:dyDescent="0.2">
      <c r="B227" s="110" t="s">
        <v>94</v>
      </c>
      <c r="C227" s="111" t="s">
        <v>433</v>
      </c>
      <c r="D227" s="110" t="s">
        <v>432</v>
      </c>
      <c r="E227" s="89">
        <v>83.835999999999999</v>
      </c>
      <c r="F227" s="89">
        <v>84.99</v>
      </c>
      <c r="G227" s="113"/>
      <c r="H227" s="54"/>
    </row>
    <row r="228" spans="2:8" x14ac:dyDescent="0.2">
      <c r="B228" s="110" t="s">
        <v>129</v>
      </c>
      <c r="C228" s="111" t="s">
        <v>431</v>
      </c>
      <c r="D228" s="110" t="s">
        <v>432</v>
      </c>
      <c r="E228" s="89">
        <v>237.04</v>
      </c>
      <c r="F228" s="89">
        <v>257.33999999999997</v>
      </c>
      <c r="G228" s="113"/>
      <c r="H228" s="54"/>
    </row>
    <row r="229" spans="2:8" x14ac:dyDescent="0.2">
      <c r="B229" s="110" t="s">
        <v>52</v>
      </c>
      <c r="C229" s="111" t="s">
        <v>431</v>
      </c>
      <c r="D229" s="110" t="s">
        <v>432</v>
      </c>
      <c r="E229" s="89">
        <v>1315.0474687285223</v>
      </c>
      <c r="F229" s="89">
        <v>1311.3</v>
      </c>
      <c r="G229" s="113"/>
      <c r="H229" s="54"/>
    </row>
    <row r="230" spans="2:8" x14ac:dyDescent="0.2">
      <c r="B230" s="110" t="s">
        <v>111</v>
      </c>
      <c r="C230" s="111" t="s">
        <v>431</v>
      </c>
      <c r="D230" s="110" t="s">
        <v>432</v>
      </c>
      <c r="E230" s="89">
        <v>1840.2380482539681</v>
      </c>
      <c r="F230" s="89">
        <v>1885.9</v>
      </c>
      <c r="G230" s="113"/>
      <c r="H230" s="54"/>
    </row>
    <row r="231" spans="2:8" x14ac:dyDescent="0.2">
      <c r="B231" s="110" t="s">
        <v>82</v>
      </c>
      <c r="C231" s="111" t="s">
        <v>433</v>
      </c>
      <c r="D231" s="110" t="s">
        <v>432</v>
      </c>
      <c r="E231" s="89">
        <v>186.1662</v>
      </c>
      <c r="F231" s="89">
        <v>191.67</v>
      </c>
      <c r="G231" s="113"/>
      <c r="H231" s="54"/>
    </row>
    <row r="232" spans="2:8" x14ac:dyDescent="0.2">
      <c r="B232" s="110" t="s">
        <v>90</v>
      </c>
      <c r="C232" s="111" t="s">
        <v>431</v>
      </c>
      <c r="D232" s="110" t="s">
        <v>432</v>
      </c>
      <c r="E232" s="89">
        <v>4683.5133306122452</v>
      </c>
      <c r="F232" s="89">
        <v>4883.5</v>
      </c>
      <c r="G232" s="113"/>
      <c r="H232" s="54"/>
    </row>
    <row r="233" spans="2:8" x14ac:dyDescent="0.2">
      <c r="B233" s="110" t="s">
        <v>90</v>
      </c>
      <c r="C233" s="111" t="s">
        <v>433</v>
      </c>
      <c r="D233" s="110" t="s">
        <v>432</v>
      </c>
      <c r="E233" s="89">
        <v>4732</v>
      </c>
      <c r="F233" s="89">
        <v>4914.8999999999996</v>
      </c>
      <c r="G233" s="113"/>
      <c r="H233" s="54"/>
    </row>
    <row r="234" spans="2:8" x14ac:dyDescent="0.2">
      <c r="B234" s="110" t="s">
        <v>74</v>
      </c>
      <c r="C234" s="111" t="s">
        <v>431</v>
      </c>
      <c r="D234" s="110" t="s">
        <v>432</v>
      </c>
      <c r="E234" s="89">
        <v>11696.159126708075</v>
      </c>
      <c r="F234" s="89">
        <v>11926</v>
      </c>
      <c r="G234" s="113"/>
      <c r="H234" s="54"/>
    </row>
    <row r="235" spans="2:8" x14ac:dyDescent="0.2">
      <c r="B235" s="110" t="s">
        <v>70</v>
      </c>
      <c r="C235" s="111" t="s">
        <v>431</v>
      </c>
      <c r="D235" s="110" t="s">
        <v>432</v>
      </c>
      <c r="E235" s="89">
        <v>286.69031203409992</v>
      </c>
      <c r="F235" s="89">
        <v>304.10000000000002</v>
      </c>
      <c r="G235" s="114"/>
      <c r="H235" s="54"/>
    </row>
    <row r="236" spans="2:8" x14ac:dyDescent="0.2">
      <c r="B236" s="86"/>
      <c r="C236" s="115"/>
      <c r="D236" s="107"/>
      <c r="E236" s="53"/>
      <c r="F236" s="53"/>
      <c r="G236" s="116"/>
      <c r="H236" s="54"/>
    </row>
    <row r="237" spans="2:8" x14ac:dyDescent="0.2">
      <c r="B237" s="86" t="s">
        <v>434</v>
      </c>
      <c r="C237" s="51"/>
      <c r="D237" s="51"/>
      <c r="E237" s="117"/>
      <c r="F237" s="117"/>
      <c r="G237" s="118"/>
      <c r="H237" s="54"/>
    </row>
    <row r="238" spans="2:8" x14ac:dyDescent="0.2">
      <c r="B238" s="86"/>
      <c r="C238" s="51"/>
      <c r="D238" s="51"/>
      <c r="E238" s="117"/>
      <c r="F238" s="117"/>
      <c r="G238" s="118"/>
      <c r="H238" s="54"/>
    </row>
    <row r="239" spans="2:8" x14ac:dyDescent="0.2">
      <c r="B239" s="119" t="s">
        <v>435</v>
      </c>
      <c r="C239" s="120"/>
      <c r="D239" s="121"/>
      <c r="E239" s="77"/>
      <c r="F239" s="77"/>
      <c r="G239" s="77"/>
      <c r="H239" s="122"/>
    </row>
    <row r="240" spans="2:8" x14ac:dyDescent="0.2">
      <c r="B240" s="123" t="s">
        <v>436</v>
      </c>
      <c r="C240" s="123"/>
      <c r="D240" s="77"/>
      <c r="E240" s="77"/>
      <c r="H240" s="122"/>
    </row>
    <row r="241" spans="2:8" x14ac:dyDescent="0.2">
      <c r="B241" s="123" t="s">
        <v>437</v>
      </c>
      <c r="C241" s="124">
        <v>4509</v>
      </c>
      <c r="D241" s="125"/>
      <c r="E241" s="125"/>
      <c r="H241" s="122"/>
    </row>
    <row r="242" spans="2:8" x14ac:dyDescent="0.2">
      <c r="B242" s="123" t="s">
        <v>438</v>
      </c>
      <c r="C242" s="124">
        <v>4509</v>
      </c>
      <c r="D242" s="118"/>
      <c r="E242" s="118"/>
      <c r="H242" s="122"/>
    </row>
    <row r="243" spans="2:8" x14ac:dyDescent="0.2">
      <c r="B243" s="123" t="s">
        <v>439</v>
      </c>
      <c r="C243" s="124">
        <v>0</v>
      </c>
      <c r="D243" s="118"/>
      <c r="E243" s="118"/>
      <c r="H243" s="122"/>
    </row>
    <row r="244" spans="2:8" x14ac:dyDescent="0.2">
      <c r="B244" s="123" t="s">
        <v>440</v>
      </c>
      <c r="C244" s="124">
        <v>0</v>
      </c>
      <c r="D244" s="118"/>
      <c r="E244" s="118"/>
      <c r="H244" s="122"/>
    </row>
    <row r="245" spans="2:8" x14ac:dyDescent="0.2">
      <c r="B245" s="123" t="s">
        <v>441</v>
      </c>
      <c r="C245" s="124">
        <v>2854777800.5901656</v>
      </c>
      <c r="D245" s="118"/>
      <c r="E245" s="118"/>
      <c r="H245" s="122"/>
    </row>
    <row r="246" spans="2:8" x14ac:dyDescent="0.2">
      <c r="B246" s="123" t="s">
        <v>442</v>
      </c>
      <c r="C246" s="124">
        <v>2871681214.46</v>
      </c>
      <c r="D246" s="118"/>
      <c r="E246" s="118"/>
      <c r="H246" s="122"/>
    </row>
    <row r="247" spans="2:8" x14ac:dyDescent="0.2">
      <c r="B247" s="123" t="s">
        <v>443</v>
      </c>
      <c r="C247" s="124">
        <v>0</v>
      </c>
      <c r="D247" s="118"/>
      <c r="E247" s="118"/>
      <c r="H247" s="122"/>
    </row>
    <row r="248" spans="2:8" x14ac:dyDescent="0.2">
      <c r="B248" s="123" t="s">
        <v>444</v>
      </c>
      <c r="C248" s="124">
        <v>16903413.869834423</v>
      </c>
      <c r="D248" s="118"/>
      <c r="E248" s="126"/>
      <c r="H248" s="122"/>
    </row>
    <row r="249" spans="2:8" x14ac:dyDescent="0.2">
      <c r="B249" s="127"/>
      <c r="C249" s="77"/>
      <c r="D249" s="77"/>
      <c r="E249" s="118"/>
      <c r="F249" s="118"/>
      <c r="G249" s="128"/>
      <c r="H249" s="122"/>
    </row>
    <row r="250" spans="2:8" x14ac:dyDescent="0.2">
      <c r="B250" s="129" t="s">
        <v>445</v>
      </c>
      <c r="C250" s="130"/>
      <c r="D250" s="130"/>
      <c r="E250" s="117"/>
      <c r="F250" s="118"/>
      <c r="G250" s="118"/>
      <c r="H250" s="122"/>
    </row>
    <row r="251" spans="2:8" x14ac:dyDescent="0.2">
      <c r="B251" s="86"/>
      <c r="C251" s="51"/>
      <c r="D251" s="51"/>
      <c r="E251" s="117"/>
      <c r="F251" s="117"/>
      <c r="G251" s="118"/>
      <c r="H251" s="54"/>
    </row>
    <row r="252" spans="2:8" x14ac:dyDescent="0.2">
      <c r="B252" s="131" t="s">
        <v>446</v>
      </c>
      <c r="C252" s="132"/>
      <c r="D252" s="132"/>
      <c r="E252" s="51"/>
      <c r="F252" s="51"/>
      <c r="G252" s="51"/>
      <c r="H252" s="54"/>
    </row>
    <row r="253" spans="2:8" x14ac:dyDescent="0.2">
      <c r="B253" s="50"/>
      <c r="C253" s="51"/>
      <c r="D253" s="51"/>
      <c r="E253" s="51"/>
      <c r="F253" s="133"/>
      <c r="G253" s="133"/>
      <c r="H253" s="54"/>
    </row>
    <row r="254" spans="2:8" x14ac:dyDescent="0.2">
      <c r="B254" s="131" t="s">
        <v>447</v>
      </c>
      <c r="C254" s="132"/>
      <c r="D254" s="132"/>
      <c r="E254" s="51"/>
      <c r="F254" s="134"/>
      <c r="G254" s="133"/>
      <c r="H254" s="54"/>
    </row>
    <row r="255" spans="2:8" x14ac:dyDescent="0.2">
      <c r="B255" s="129"/>
      <c r="C255" s="130"/>
      <c r="D255" s="130"/>
      <c r="E255" s="51"/>
      <c r="F255" s="51"/>
      <c r="G255" s="51"/>
      <c r="H255" s="54"/>
    </row>
    <row r="256" spans="2:8" x14ac:dyDescent="0.2">
      <c r="B256" s="131" t="s">
        <v>448</v>
      </c>
      <c r="C256" s="132"/>
      <c r="D256" s="132"/>
      <c r="E256" s="51"/>
      <c r="F256" s="134"/>
      <c r="G256" s="51"/>
      <c r="H256" s="54"/>
    </row>
    <row r="257" spans="2:10" x14ac:dyDescent="0.2">
      <c r="B257" s="86"/>
      <c r="C257" s="115"/>
      <c r="D257" s="107"/>
      <c r="E257" s="53"/>
      <c r="F257" s="53"/>
      <c r="G257" s="51"/>
      <c r="H257" s="54"/>
    </row>
    <row r="258" spans="2:10" x14ac:dyDescent="0.2">
      <c r="B258" s="135" t="s">
        <v>449</v>
      </c>
      <c r="C258" s="136"/>
      <c r="D258" s="136"/>
      <c r="E258" s="136"/>
      <c r="F258" s="136"/>
      <c r="G258" s="51"/>
      <c r="H258" s="54"/>
    </row>
    <row r="259" spans="2:10" x14ac:dyDescent="0.2">
      <c r="B259" s="135"/>
      <c r="C259" s="136"/>
      <c r="D259" s="136"/>
      <c r="E259" s="136"/>
      <c r="F259" s="136"/>
      <c r="G259" s="51"/>
      <c r="H259" s="54"/>
    </row>
    <row r="260" spans="2:10" x14ac:dyDescent="0.2">
      <c r="B260" s="131" t="s">
        <v>450</v>
      </c>
      <c r="C260" s="132"/>
      <c r="D260" s="132"/>
      <c r="E260" s="51"/>
      <c r="F260" s="51"/>
      <c r="G260" s="51"/>
      <c r="H260" s="54"/>
    </row>
    <row r="261" spans="2:10" x14ac:dyDescent="0.2">
      <c r="B261" s="76" t="s">
        <v>451</v>
      </c>
      <c r="C261" s="124">
        <v>414</v>
      </c>
      <c r="D261" s="51"/>
      <c r="E261" s="51"/>
      <c r="H261" s="54"/>
    </row>
    <row r="262" spans="2:10" x14ac:dyDescent="0.2">
      <c r="B262" s="76" t="s">
        <v>452</v>
      </c>
      <c r="C262" s="124">
        <v>246556500</v>
      </c>
      <c r="D262" s="51"/>
      <c r="E262" s="51"/>
      <c r="H262" s="54"/>
    </row>
    <row r="263" spans="2:10" x14ac:dyDescent="0.2">
      <c r="B263" s="76" t="s">
        <v>453</v>
      </c>
      <c r="C263" s="124">
        <v>523216.27</v>
      </c>
      <c r="D263" s="51"/>
      <c r="E263" s="51"/>
      <c r="H263" s="54"/>
    </row>
    <row r="264" spans="2:10" x14ac:dyDescent="0.2">
      <c r="B264" s="50"/>
      <c r="C264" s="51"/>
      <c r="D264" s="51"/>
      <c r="E264" s="51"/>
      <c r="F264" s="51"/>
      <c r="G264" s="51"/>
      <c r="H264" s="54"/>
    </row>
    <row r="265" spans="2:10" x14ac:dyDescent="0.2">
      <c r="B265" s="137" t="s">
        <v>454</v>
      </c>
      <c r="C265" s="138"/>
      <c r="D265" s="138"/>
      <c r="E265" s="138"/>
      <c r="F265" s="138"/>
      <c r="G265" s="138"/>
      <c r="H265" s="139"/>
    </row>
    <row r="267" spans="2:10" x14ac:dyDescent="0.2">
      <c r="B267" s="140" t="s">
        <v>455</v>
      </c>
      <c r="C267" s="140"/>
      <c r="D267" s="140"/>
      <c r="E267" s="140"/>
      <c r="F267" s="140"/>
      <c r="G267" s="140"/>
      <c r="H267" s="140"/>
      <c r="I267" s="140"/>
      <c r="J267" s="125"/>
    </row>
    <row r="268" spans="2:10" x14ac:dyDescent="0.2">
      <c r="B268" s="141" t="s">
        <v>456</v>
      </c>
      <c r="C268" s="142" t="s">
        <v>457</v>
      </c>
      <c r="D268" s="142"/>
      <c r="E268" s="143" t="s">
        <v>458</v>
      </c>
      <c r="F268" s="143" t="s">
        <v>459</v>
      </c>
      <c r="G268" s="142" t="s">
        <v>460</v>
      </c>
      <c r="H268" s="142"/>
      <c r="I268" s="142"/>
      <c r="J268" s="142"/>
    </row>
    <row r="269" spans="2:10" ht="60" x14ac:dyDescent="0.2">
      <c r="B269" s="141"/>
      <c r="C269" s="144" t="s">
        <v>461</v>
      </c>
      <c r="D269" s="144" t="s">
        <v>462</v>
      </c>
      <c r="E269" s="144" t="s">
        <v>463</v>
      </c>
      <c r="F269" s="144" t="s">
        <v>464</v>
      </c>
      <c r="G269" s="144" t="s">
        <v>461</v>
      </c>
      <c r="H269" s="144" t="s">
        <v>462</v>
      </c>
      <c r="I269" s="144" t="s">
        <v>463</v>
      </c>
      <c r="J269" s="144" t="s">
        <v>464</v>
      </c>
    </row>
    <row r="270" spans="2:10" x14ac:dyDescent="0.2">
      <c r="B270" s="145" t="s">
        <v>465</v>
      </c>
      <c r="C270" s="146">
        <v>6.9654561774011636E-2</v>
      </c>
      <c r="D270" s="146">
        <v>7.2970853204303854E-2</v>
      </c>
      <c r="E270" s="146">
        <v>7.0285663212660943E-2</v>
      </c>
      <c r="F270" s="146">
        <v>5.2578861077923644E-2</v>
      </c>
      <c r="G270" s="147">
        <v>11773.500000000002</v>
      </c>
      <c r="H270" s="147">
        <v>11862.2</v>
      </c>
      <c r="I270" s="147">
        <v>11790.349775465927</v>
      </c>
      <c r="J270" s="147">
        <v>11322.957829535269</v>
      </c>
    </row>
    <row r="271" spans="2:10" x14ac:dyDescent="0.2">
      <c r="B271" s="148" t="s">
        <v>466</v>
      </c>
      <c r="C271" s="146">
        <v>3.6408771203972012E-2</v>
      </c>
      <c r="D271" s="146">
        <v>3.9695686851954015E-2</v>
      </c>
      <c r="E271" s="146">
        <v>3.756715253282561E-2</v>
      </c>
      <c r="F271" s="146">
        <v>-4.2563177361641946E-3</v>
      </c>
      <c r="G271" s="147">
        <v>10364.08771203972</v>
      </c>
      <c r="H271" s="147">
        <v>10396.956868519541</v>
      </c>
      <c r="I271" s="147">
        <v>10375.671525328256</v>
      </c>
      <c r="J271" s="147">
        <v>9957.4368226383576</v>
      </c>
    </row>
    <row r="272" spans="2:10" x14ac:dyDescent="0.2">
      <c r="B272" s="149"/>
      <c r="C272" s="125"/>
      <c r="D272" s="125"/>
      <c r="E272" s="125"/>
      <c r="F272" s="125"/>
      <c r="G272" s="125"/>
      <c r="H272" s="125"/>
      <c r="I272" s="125"/>
      <c r="J272" s="125"/>
    </row>
    <row r="273" spans="2:10" x14ac:dyDescent="0.2">
      <c r="B273" s="140" t="s">
        <v>392</v>
      </c>
      <c r="C273" s="140"/>
      <c r="D273" s="140"/>
      <c r="E273" s="140"/>
      <c r="F273" s="140"/>
      <c r="G273" s="125"/>
      <c r="H273" s="125"/>
      <c r="I273" s="125"/>
      <c r="J273" s="125"/>
    </row>
    <row r="274" spans="2:10" ht="36" x14ac:dyDescent="0.2">
      <c r="B274" s="150"/>
      <c r="C274" s="151" t="s">
        <v>465</v>
      </c>
      <c r="D274" s="144" t="s">
        <v>466</v>
      </c>
      <c r="E274" s="144" t="s">
        <v>467</v>
      </c>
      <c r="F274" s="125"/>
      <c r="G274" s="125"/>
      <c r="H274" s="125"/>
      <c r="I274" s="125"/>
      <c r="J274" s="125"/>
    </row>
    <row r="275" spans="2:10" x14ac:dyDescent="0.2">
      <c r="B275" s="145" t="s">
        <v>468</v>
      </c>
      <c r="C275" s="76">
        <v>300000</v>
      </c>
      <c r="D275" s="76">
        <v>120000</v>
      </c>
      <c r="E275" s="152" t="s">
        <v>469</v>
      </c>
      <c r="F275" s="125"/>
      <c r="G275" s="125"/>
      <c r="H275" s="125"/>
      <c r="I275" s="125"/>
      <c r="J275" s="125"/>
    </row>
    <row r="276" spans="2:10" x14ac:dyDescent="0.2">
      <c r="B276" s="145" t="s">
        <v>470</v>
      </c>
      <c r="C276" s="153">
        <v>321461.16490573302</v>
      </c>
      <c r="D276" s="153">
        <v>123052.655127074</v>
      </c>
      <c r="E276" s="152" t="s">
        <v>469</v>
      </c>
      <c r="F276" s="125"/>
      <c r="G276" s="125"/>
      <c r="H276" s="125"/>
      <c r="I276" s="125"/>
      <c r="J276" s="125"/>
    </row>
    <row r="277" spans="2:10" x14ac:dyDescent="0.2">
      <c r="B277" s="145" t="s">
        <v>471</v>
      </c>
      <c r="C277" s="154">
        <v>5.4669902520850204</v>
      </c>
      <c r="D277" s="154">
        <v>4.7737712041701901</v>
      </c>
      <c r="E277" s="152" t="s">
        <v>469</v>
      </c>
      <c r="F277" s="125"/>
      <c r="G277" s="125"/>
      <c r="H277" s="125"/>
      <c r="I277" s="125"/>
      <c r="J277" s="125"/>
    </row>
    <row r="278" spans="2:10" ht="24" x14ac:dyDescent="0.2">
      <c r="B278" s="145" t="s">
        <v>472</v>
      </c>
      <c r="C278" s="154">
        <v>5.3661194024260901</v>
      </c>
      <c r="D278" s="154">
        <v>5.17606180307759</v>
      </c>
      <c r="E278" s="152" t="s">
        <v>469</v>
      </c>
      <c r="F278" s="125"/>
      <c r="G278" s="125"/>
      <c r="H278" s="125"/>
      <c r="I278" s="125"/>
      <c r="J278" s="125"/>
    </row>
    <row r="279" spans="2:10" x14ac:dyDescent="0.2">
      <c r="B279" s="145" t="s">
        <v>473</v>
      </c>
      <c r="C279" s="154">
        <v>2.2112645166111999</v>
      </c>
      <c r="D279" s="154">
        <v>-0.63161224117136705</v>
      </c>
      <c r="E279" s="152" t="s">
        <v>469</v>
      </c>
      <c r="F279" s="125"/>
      <c r="G279" s="125"/>
      <c r="H279" s="125"/>
      <c r="I279" s="125"/>
      <c r="J279" s="125"/>
    </row>
    <row r="280" spans="2:10" x14ac:dyDescent="0.2">
      <c r="B280" s="125"/>
      <c r="C280" s="125"/>
      <c r="D280" s="125"/>
      <c r="E280" s="125"/>
      <c r="F280" s="125"/>
      <c r="G280" s="125"/>
      <c r="H280" s="125"/>
      <c r="I280" s="125"/>
      <c r="J280" s="125"/>
    </row>
    <row r="281" spans="2:10" x14ac:dyDescent="0.2">
      <c r="B281" s="140" t="s">
        <v>474</v>
      </c>
      <c r="C281" s="140"/>
      <c r="D281" s="140"/>
      <c r="E281" s="140"/>
      <c r="F281" s="140"/>
      <c r="G281" s="125"/>
      <c r="H281" s="125"/>
      <c r="I281" s="125"/>
      <c r="J281" s="125"/>
    </row>
    <row r="282" spans="2:10" ht="36" x14ac:dyDescent="0.2">
      <c r="B282" s="150"/>
      <c r="C282" s="151" t="s">
        <v>465</v>
      </c>
      <c r="D282" s="144" t="s">
        <v>466</v>
      </c>
      <c r="E282" s="144" t="s">
        <v>467</v>
      </c>
      <c r="F282" s="125"/>
      <c r="G282" s="125"/>
      <c r="H282" s="125"/>
      <c r="I282" s="125"/>
      <c r="J282" s="125"/>
    </row>
    <row r="283" spans="2:10" x14ac:dyDescent="0.2">
      <c r="B283" s="145" t="s">
        <v>468</v>
      </c>
      <c r="C283" s="76">
        <v>300000</v>
      </c>
      <c r="D283" s="76">
        <v>120000</v>
      </c>
      <c r="E283" s="152" t="s">
        <v>469</v>
      </c>
      <c r="F283" s="125"/>
      <c r="G283" s="125"/>
      <c r="H283" s="125"/>
      <c r="I283" s="125"/>
      <c r="J283" s="125"/>
    </row>
    <row r="284" spans="2:10" x14ac:dyDescent="0.2">
      <c r="B284" s="145" t="s">
        <v>470</v>
      </c>
      <c r="C284" s="153">
        <v>322797.22145914898</v>
      </c>
      <c r="D284" s="153">
        <v>123270.559043644</v>
      </c>
      <c r="E284" s="152" t="s">
        <v>469</v>
      </c>
      <c r="F284" s="125"/>
      <c r="G284" s="125"/>
      <c r="H284" s="125"/>
      <c r="I284" s="125"/>
      <c r="J284" s="125"/>
    </row>
    <row r="285" spans="2:10" x14ac:dyDescent="0.2">
      <c r="B285" s="145" t="s">
        <v>471</v>
      </c>
      <c r="C285" s="154">
        <v>5.8007761976138701</v>
      </c>
      <c r="D285" s="154">
        <v>5.1171393743995504</v>
      </c>
      <c r="E285" s="152" t="s">
        <v>469</v>
      </c>
      <c r="F285" s="125"/>
      <c r="G285" s="125"/>
      <c r="H285" s="125"/>
      <c r="I285" s="125"/>
      <c r="J285" s="125"/>
    </row>
    <row r="286" spans="2:10" ht="24" x14ac:dyDescent="0.2">
      <c r="B286" s="145" t="s">
        <v>472</v>
      </c>
      <c r="C286" s="154">
        <v>5.3661194024260901</v>
      </c>
      <c r="D286" s="154">
        <v>5.17606180307759</v>
      </c>
      <c r="E286" s="152" t="s">
        <v>469</v>
      </c>
      <c r="F286" s="125"/>
      <c r="G286" s="125"/>
      <c r="H286" s="125"/>
      <c r="I286" s="125"/>
      <c r="J286" s="125"/>
    </row>
    <row r="287" spans="2:10" x14ac:dyDescent="0.2">
      <c r="B287" s="145" t="s">
        <v>473</v>
      </c>
      <c r="C287" s="154">
        <v>2.2112645166111999</v>
      </c>
      <c r="D287" s="154">
        <v>-0.63161224117136705</v>
      </c>
      <c r="E287" s="152" t="s">
        <v>469</v>
      </c>
      <c r="F287" s="125"/>
      <c r="G287" s="125"/>
      <c r="H287" s="125"/>
      <c r="I287" s="125"/>
      <c r="J287" s="125"/>
    </row>
    <row r="288" spans="2:10" x14ac:dyDescent="0.2">
      <c r="B288" s="125"/>
      <c r="C288" s="125"/>
      <c r="D288" s="125"/>
      <c r="E288" s="125"/>
      <c r="F288" s="125"/>
      <c r="G288" s="125"/>
      <c r="H288" s="125"/>
      <c r="I288" s="125"/>
      <c r="J288" s="125"/>
    </row>
    <row r="289" spans="2:10" x14ac:dyDescent="0.2">
      <c r="B289" s="143" t="s">
        <v>475</v>
      </c>
      <c r="C289" s="150"/>
      <c r="D289" s="125"/>
      <c r="E289" s="125"/>
      <c r="F289" s="125"/>
      <c r="G289" s="125"/>
      <c r="H289" s="125"/>
      <c r="I289" s="125"/>
      <c r="J289" s="125"/>
    </row>
    <row r="290" spans="2:10" x14ac:dyDescent="0.2">
      <c r="B290" s="76" t="s">
        <v>476</v>
      </c>
      <c r="C290" s="155">
        <v>4.3850661228364638</v>
      </c>
      <c r="D290" s="125"/>
      <c r="E290" s="125"/>
      <c r="F290" s="125"/>
      <c r="G290" s="125"/>
      <c r="H290" s="125"/>
      <c r="I290" s="125"/>
      <c r="J290" s="125"/>
    </row>
    <row r="291" spans="2:10" x14ac:dyDescent="0.2">
      <c r="B291" s="76" t="s">
        <v>477</v>
      </c>
      <c r="C291" s="155">
        <v>3.5134672872602231</v>
      </c>
      <c r="D291" s="125"/>
      <c r="E291" s="125"/>
      <c r="F291" s="125"/>
      <c r="G291" s="125"/>
      <c r="H291" s="125"/>
      <c r="I291" s="125"/>
      <c r="J291" s="125"/>
    </row>
    <row r="292" spans="2:10" x14ac:dyDescent="0.2">
      <c r="B292" s="76" t="s">
        <v>478</v>
      </c>
      <c r="C292" s="155">
        <v>3.6572011536103814</v>
      </c>
      <c r="D292" s="125"/>
      <c r="E292" s="125"/>
      <c r="F292" s="125"/>
      <c r="G292" s="125"/>
      <c r="H292" s="125"/>
      <c r="I292" s="125"/>
      <c r="J292" s="125"/>
    </row>
    <row r="293" spans="2:10" x14ac:dyDescent="0.2">
      <c r="B293" s="76" t="s">
        <v>479</v>
      </c>
      <c r="C293" s="156">
        <v>7.1788395075721684E-2</v>
      </c>
      <c r="D293" s="157"/>
      <c r="E293" s="125"/>
      <c r="F293" s="125"/>
      <c r="G293" s="125"/>
      <c r="H293" s="125"/>
      <c r="I293" s="125"/>
      <c r="J293" s="125"/>
    </row>
    <row r="295" spans="2:10" x14ac:dyDescent="0.2">
      <c r="B295" s="125" t="s">
        <v>480</v>
      </c>
      <c r="C295" s="102"/>
    </row>
    <row r="296" spans="2:10" x14ac:dyDescent="0.2">
      <c r="B296" s="125" t="s">
        <v>481</v>
      </c>
      <c r="C296" s="102"/>
    </row>
    <row r="297" spans="2:10" x14ac:dyDescent="0.2">
      <c r="B297" s="125"/>
      <c r="C297" s="102"/>
    </row>
    <row r="298" spans="2:10" x14ac:dyDescent="0.2">
      <c r="B298" s="158" t="s">
        <v>482</v>
      </c>
    </row>
    <row r="299" spans="2:10" x14ac:dyDescent="0.2">
      <c r="B299" s="3" t="s">
        <v>483</v>
      </c>
    </row>
    <row r="300" spans="2:10" x14ac:dyDescent="0.2">
      <c r="B300" s="3" t="s">
        <v>484</v>
      </c>
    </row>
    <row r="301" spans="2:10" x14ac:dyDescent="0.2">
      <c r="B301" s="3" t="s">
        <v>485</v>
      </c>
    </row>
    <row r="303" spans="2:10" x14ac:dyDescent="0.2">
      <c r="C303" s="159" t="s">
        <v>486</v>
      </c>
      <c r="D303" s="159"/>
    </row>
    <row r="304" spans="2:10" x14ac:dyDescent="0.2">
      <c r="B304" s="160" t="s">
        <v>487</v>
      </c>
      <c r="C304" s="161" t="s">
        <v>488</v>
      </c>
      <c r="D304" s="161"/>
    </row>
    <row r="305" spans="2:4" x14ac:dyDescent="0.2">
      <c r="B305" s="160"/>
      <c r="C305" s="161"/>
      <c r="D305" s="161"/>
    </row>
  </sheetData>
  <mergeCells count="10">
    <mergeCell ref="B281:F281"/>
    <mergeCell ref="C303:D303"/>
    <mergeCell ref="C304:D304"/>
    <mergeCell ref="C305:D305"/>
    <mergeCell ref="G213:G235"/>
    <mergeCell ref="B267:I267"/>
    <mergeCell ref="B268:B269"/>
    <mergeCell ref="C268:D268"/>
    <mergeCell ref="G268:J268"/>
    <mergeCell ref="B273:F273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PPDAAF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Chheda</dc:creator>
  <cp:lastModifiedBy>Nidhi Chheda</cp:lastModifiedBy>
  <dcterms:created xsi:type="dcterms:W3CDTF">2026-08-07T10:44:13Z</dcterms:created>
  <dcterms:modified xsi:type="dcterms:W3CDTF">2026-08-07T10:44:42Z</dcterms:modified>
</cp:coreProperties>
</file>