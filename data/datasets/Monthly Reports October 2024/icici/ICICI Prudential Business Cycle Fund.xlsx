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mc:AlternateContent xmlns:mc="http://schemas.openxmlformats.org/markup-compatibility/2006">
    <mc:Choice Requires="x15">
      <x15ac:absPath xmlns:x15ac="http://schemas.microsoft.com/office/spreadsheetml/2010/11/ac" url="Z:\Factseet Mandates\ICICI PRUDENTIAL FACTSHEET\2024\November\Portfolio stage 8\Riskometer updated Portfolio\"/>
    </mc:Choice>
  </mc:AlternateContent>
  <xr:revisionPtr revIDLastSave="0" documentId="13_ncr:1_{83CA138D-3DB6-427E-84C5-89087230B50D}" xr6:coauthVersionLast="47" xr6:coauthVersionMax="47" xr10:uidLastSave="{00000000-0000-0000-0000-000000000000}"/>
  <bookViews>
    <workbookView xWindow="-120" yWindow="-120" windowWidth="20730" windowHeight="11160" xr2:uid="{00000000-000D-0000-FFFF-FFFF00000000}"/>
  </bookViews>
  <sheets>
    <sheet name="BCYCLE"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7" i="2" l="1"/>
</calcChain>
</file>

<file path=xl/sharedStrings.xml><?xml version="1.0" encoding="utf-8"?>
<sst xmlns="http://schemas.openxmlformats.org/spreadsheetml/2006/main" count="752" uniqueCount="237">
  <si>
    <t>ICICI Prudential Mutual Fund</t>
  </si>
  <si>
    <t>ICICI Prudential Business Cycle Fund</t>
  </si>
  <si>
    <t>Portfolio as on Oct 31,2024</t>
  </si>
  <si>
    <t>Company/Issuer/Instrument Name</t>
  </si>
  <si>
    <t>ISIN</t>
  </si>
  <si>
    <t>Coupon</t>
  </si>
  <si>
    <t>Industry/Rating</t>
  </si>
  <si>
    <t>Quantity</t>
  </si>
  <si>
    <t>Exposure/Market Value(Rs.Lakh)</t>
  </si>
  <si>
    <t>% to Nav</t>
  </si>
  <si>
    <t>Yield of the instrument</t>
  </si>
  <si>
    <t>Yield to Call @</t>
  </si>
  <si>
    <t>Equity &amp; Equity Related Instruments (Note -1)</t>
  </si>
  <si>
    <t/>
  </si>
  <si>
    <t>Listed / Awaiting Listing On Stock Exchanges</t>
  </si>
  <si>
    <t>Equity shares</t>
  </si>
  <si>
    <t>HDFC Bank Ltd.</t>
  </si>
  <si>
    <t>INE040A01034</t>
  </si>
  <si>
    <t>Banks</t>
  </si>
  <si>
    <t>ICICI Bank Ltd.</t>
  </si>
  <si>
    <t>INE090A01021</t>
  </si>
  <si>
    <t>Larsen &amp; Toubro Ltd.</t>
  </si>
  <si>
    <t>INE018A01030</t>
  </si>
  <si>
    <t>Construction</t>
  </si>
  <si>
    <t>Reliance Industries Ltd.</t>
  </si>
  <si>
    <t>INE002A01018</t>
  </si>
  <si>
    <t>Petroleum Products</t>
  </si>
  <si>
    <t>Ultratech Cement Ltd.</t>
  </si>
  <si>
    <t>INE481G01011</t>
  </si>
  <si>
    <t>Cement &amp; Cement Products</t>
  </si>
  <si>
    <t>Bharti Airtel Ltd.</t>
  </si>
  <si>
    <t>INE397D01024</t>
  </si>
  <si>
    <t>Telecom - Services</t>
  </si>
  <si>
    <t>Maruti Suzuki India Ltd.</t>
  </si>
  <si>
    <t>INE585B01010</t>
  </si>
  <si>
    <t>Automobiles</t>
  </si>
  <si>
    <t>Axis Bank Ltd.</t>
  </si>
  <si>
    <t>INE238A01034</t>
  </si>
  <si>
    <t>Sun Pharmaceutical Industries Ltd.</t>
  </si>
  <si>
    <t>INE044A01036</t>
  </si>
  <si>
    <t>Pharmaceuticals &amp; Biotechnology</t>
  </si>
  <si>
    <t>NTPC Ltd.</t>
  </si>
  <si>
    <t>INE733E01010</t>
  </si>
  <si>
    <t>Power</t>
  </si>
  <si>
    <t>Cummins India Ltd.</t>
  </si>
  <si>
    <t>INE298A01020</t>
  </si>
  <si>
    <t>Industrial Products</t>
  </si>
  <si>
    <t>Hero Motocorp Ltd.</t>
  </si>
  <si>
    <t>INE158A01026</t>
  </si>
  <si>
    <t>Lupin Ltd.</t>
  </si>
  <si>
    <t>INE326A01037</t>
  </si>
  <si>
    <t>Interglobe Aviation Ltd.</t>
  </si>
  <si>
    <t>INE646L01027</t>
  </si>
  <si>
    <t>Transport Services</t>
  </si>
  <si>
    <t>HDFC Life Insurance Company Ltd.</t>
  </si>
  <si>
    <t>INE795G01014</t>
  </si>
  <si>
    <t>Insurance</t>
  </si>
  <si>
    <t>ICICI Prudential Life Insurance Company Ltd.</t>
  </si>
  <si>
    <t>INE726G01019</t>
  </si>
  <si>
    <t>Aurobindo Pharma Ltd.</t>
  </si>
  <si>
    <t>INE406A01037</t>
  </si>
  <si>
    <t>DLF Ltd.</t>
  </si>
  <si>
    <t>INE271C01023</t>
  </si>
  <si>
    <t>Realty</t>
  </si>
  <si>
    <t>Tata Motors Ltd.</t>
  </si>
  <si>
    <t>INE155A01022</t>
  </si>
  <si>
    <t>Kotak Mahindra Bank Ltd.</t>
  </si>
  <si>
    <t>INE237A01028</t>
  </si>
  <si>
    <t>Shree Cements Ltd.</t>
  </si>
  <si>
    <t>INE070A01015</t>
  </si>
  <si>
    <t>Power Grid Corporation Of India Ltd.</t>
  </si>
  <si>
    <t>INE752E01010</t>
  </si>
  <si>
    <t>Siemens Ltd.</t>
  </si>
  <si>
    <t>INE003A01024</t>
  </si>
  <si>
    <t>Electrical Equipment</t>
  </si>
  <si>
    <t>SBI Life Insurance Company Ltd.</t>
  </si>
  <si>
    <t>INE123W01016</t>
  </si>
  <si>
    <t>HDFC Asset Management Company Ltd.</t>
  </si>
  <si>
    <t>INE127D01025</t>
  </si>
  <si>
    <t>Capital Markets</t>
  </si>
  <si>
    <t>Max Financial Services Ltd.</t>
  </si>
  <si>
    <t>INE180A01020</t>
  </si>
  <si>
    <t>Vedanta Ltd.</t>
  </si>
  <si>
    <t>INE205A01025</t>
  </si>
  <si>
    <t>Diversified Metals</t>
  </si>
  <si>
    <t>Hindalco Industries Ltd.</t>
  </si>
  <si>
    <t>INE038A01020</t>
  </si>
  <si>
    <t>Non - Ferrous Metals</t>
  </si>
  <si>
    <t>Gujarat Pipavav Port Ltd.</t>
  </si>
  <si>
    <t>INE517F01014</t>
  </si>
  <si>
    <t>Transport Infrastructure</t>
  </si>
  <si>
    <t>Bharat Petroleum Corporation Ltd.</t>
  </si>
  <si>
    <t>INE029A01011</t>
  </si>
  <si>
    <t>Ambuja Cements Ltd.</t>
  </si>
  <si>
    <t>INE079A01024</t>
  </si>
  <si>
    <t>Gujarat Narmada Valley Fertilizers and Chemicals Ltd.</t>
  </si>
  <si>
    <t>INE113A01013</t>
  </si>
  <si>
    <t>Chemicals &amp; Petrochemicals</t>
  </si>
  <si>
    <t>Oberoi Realty Ltd.</t>
  </si>
  <si>
    <t>INE093I01010</t>
  </si>
  <si>
    <t>Page Industries Ltd.</t>
  </si>
  <si>
    <t>INE761H01022</t>
  </si>
  <si>
    <t>Textiles &amp; Apparels</t>
  </si>
  <si>
    <t>IPCA Laboratories Ltd.</t>
  </si>
  <si>
    <t>INE571A01038</t>
  </si>
  <si>
    <t>Affle India Ltd.</t>
  </si>
  <si>
    <t>INE00WC01027</t>
  </si>
  <si>
    <t>It - Services</t>
  </si>
  <si>
    <t>Bank Of Baroda</t>
  </si>
  <si>
    <t>INE028A01039</t>
  </si>
  <si>
    <t>Union Bank Of India</t>
  </si>
  <si>
    <t>INE692A01016</t>
  </si>
  <si>
    <t>Graphite India Ltd.</t>
  </si>
  <si>
    <t>INE371A01025</t>
  </si>
  <si>
    <t>Syngene International Ltd.</t>
  </si>
  <si>
    <t>INE398R01022</t>
  </si>
  <si>
    <t>Healthcare Services</t>
  </si>
  <si>
    <t>Timken India Ltd.</t>
  </si>
  <si>
    <t>INE325A01013</t>
  </si>
  <si>
    <t>Birla Corporation Ltd.</t>
  </si>
  <si>
    <t>INE340A01012</t>
  </si>
  <si>
    <t>ICICI Securities Ltd.</t>
  </si>
  <si>
    <t>INE763G01038</t>
  </si>
  <si>
    <t>Nippon Life India Asset Management Ltd</t>
  </si>
  <si>
    <t>INE298J01013</t>
  </si>
  <si>
    <t>TVS Holdings Ltd.</t>
  </si>
  <si>
    <t>INE105A01035</t>
  </si>
  <si>
    <t>Finance</t>
  </si>
  <si>
    <t>Grasim Industries Ltd.</t>
  </si>
  <si>
    <t>INE047A01021</t>
  </si>
  <si>
    <t>Alkem Laboratories Ltd.</t>
  </si>
  <si>
    <t>INE540L01014</t>
  </si>
  <si>
    <t>Hyundai Motor India Ltd.</t>
  </si>
  <si>
    <t>INE0V6F01027</t>
  </si>
  <si>
    <t>Gujarat State Petronet Ltd.</t>
  </si>
  <si>
    <t>INE246F01010</t>
  </si>
  <si>
    <t>Gas</t>
  </si>
  <si>
    <t>Jm Financial Ltd.</t>
  </si>
  <si>
    <t>INE780C01023</t>
  </si>
  <si>
    <t>Schaeffler India Ltd.</t>
  </si>
  <si>
    <t>INE513A01022</t>
  </si>
  <si>
    <t>Auto Components</t>
  </si>
  <si>
    <t>Prestige Estates Projects Ltd.</t>
  </si>
  <si>
    <t>INE811K01011</t>
  </si>
  <si>
    <t>Zydus Lifesciences Ltd.</t>
  </si>
  <si>
    <t>INE010B01027</t>
  </si>
  <si>
    <t>Avenue Supermarts Ltd.</t>
  </si>
  <si>
    <t>INE192R01011</t>
  </si>
  <si>
    <t>Retailing</t>
  </si>
  <si>
    <t>Heidleberg Cement India Ltd.</t>
  </si>
  <si>
    <t>INE578A01017</t>
  </si>
  <si>
    <t>NHPC Ltd.</t>
  </si>
  <si>
    <t>INE848E01016</t>
  </si>
  <si>
    <t>The Phoenix Mills Ltd.</t>
  </si>
  <si>
    <t>INE211B01039</t>
  </si>
  <si>
    <t>3M India Ltd.</t>
  </si>
  <si>
    <t>INE470A01017</t>
  </si>
  <si>
    <t>Diversified</t>
  </si>
  <si>
    <t>Hindustan Aeronautics Ltd.</t>
  </si>
  <si>
    <t>INE066F01020</t>
  </si>
  <si>
    <t>Aerospace &amp; Defense</t>
  </si>
  <si>
    <t>Life Insurance Corporation of India</t>
  </si>
  <si>
    <t>INE0J1Y01017</t>
  </si>
  <si>
    <t>Muthoot Finance Ltd.</t>
  </si>
  <si>
    <t>INE414G01012</t>
  </si>
  <si>
    <t>Sagar Cements Ltd.</t>
  </si>
  <si>
    <t>INE229C01021</t>
  </si>
  <si>
    <t>IN9047A01029</t>
  </si>
  <si>
    <t>Star Cement Ltd.</t>
  </si>
  <si>
    <t>INE460H01021</t>
  </si>
  <si>
    <t>Gujarat Gas Ltd.</t>
  </si>
  <si>
    <t>INE844O01030</t>
  </si>
  <si>
    <t>^</t>
  </si>
  <si>
    <t>Hindustan Petroleum Corporation Ltd.</t>
  </si>
  <si>
    <t>INE094A01015</t>
  </si>
  <si>
    <t>Foreign Securities/Overseas ETFs</t>
  </si>
  <si>
    <t>Vodafone Group Plc - SP ADR</t>
  </si>
  <si>
    <t>US92857W3088</t>
  </si>
  <si>
    <t>Wireless Telecommunication Services</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</si>
  <si>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</si>
  <si>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</si>
  <si>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</si>
  <si>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</si>
  <si>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</si>
  <si>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</si>
  <si>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</si>
  <si>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</si>
  <si>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</si>
  <si>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</si>
  <si>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</si>
  <si>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364 Days Treasury Bills</t>
  </si>
  <si>
    <t>IN002023Z364</t>
  </si>
  <si>
    <t>SOV</t>
  </si>
  <si>
    <t>182 Days Treasury Bills</t>
  </si>
  <si>
    <t>IN002024Y100</t>
  </si>
  <si>
    <t>IN002023Z349</t>
  </si>
  <si>
    <t>IN002024Y084</t>
  </si>
  <si>
    <t>IN002024Y092</t>
  </si>
  <si>
    <t>IN002023Z406</t>
  </si>
  <si>
    <t>Units of Real Estate Investment Trust (REITs)</t>
  </si>
  <si>
    <t>Units of an Alternative Investment Fund (AIF)</t>
  </si>
  <si>
    <t>TREPS</t>
  </si>
  <si>
    <t>Others</t>
  </si>
  <si>
    <t>Cash Margin - Derivatives</t>
  </si>
  <si>
    <t>Net Current Assets</t>
  </si>
  <si>
    <t>Total Net Assets</t>
  </si>
  <si>
    <t>Details of Stock Future / Index Future</t>
  </si>
  <si>
    <t>Stock / Index Futures</t>
  </si>
  <si>
    <t>Nifty 50 Index $$</t>
  </si>
  <si>
    <t>Index Futures</t>
  </si>
  <si>
    <t>Ambuja Cements Ltd. $$</t>
  </si>
  <si>
    <t>ICICI Bank Ltd. $$</t>
  </si>
  <si>
    <t>Power Grid Corporation Of India Ltd. $$</t>
  </si>
  <si>
    <t>Bharat Petroleum Corporation Ltd. $$</t>
  </si>
  <si>
    <t>Ultratech Cement Ltd. $$</t>
  </si>
  <si>
    <t>Sun Pharmaceutical Industries Ltd. $$</t>
  </si>
  <si>
    <t>Bharti Airtel Ltd. $$</t>
  </si>
  <si>
    <t>Reliance Industries Ltd. $$</t>
  </si>
  <si>
    <t>Kotak Mahindra Bank Ltd. $$</t>
  </si>
  <si>
    <t>NTPC Ltd. $$</t>
  </si>
  <si>
    <t>Lupin Ltd. $$</t>
  </si>
  <si>
    <t>Note- 1 : Index/ Stock futures are provided towards end of the table.</t>
  </si>
  <si>
    <t>Non-Convertible debentures / Bonds &amp; Zero Coupon Bonds / Deep Discount Bonds / Certificate of Deposits / Commercial Papers are considered as Traded based on the information provided by external agencies.</t>
  </si>
  <si>
    <t>$$ - Derivatives.</t>
  </si>
  <si>
    <t>^ Value Less than 0.01% of NAV in absolute terms.</t>
  </si>
  <si>
    <t>Industry classification is done as per Global Industry Classification Standard (GICS) by MSCI and Standard &amp; Poor’s for Foreign Equity</t>
  </si>
  <si>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</si>
  <si>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</si>
  <si>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</si>
  <si>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SEBI/HO/IMD/IMD-PoD-1/P/CIR/2023/74 dated May 19, 2023.Refer link: https://www.icicipruamc.com/statutory-disclosures/deviation-in-valuation-of-securities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</si>
  <si>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</si>
  <si>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Scheme Riskometer</t>
  </si>
  <si>
    <t>Benchmark Riskometer</t>
  </si>
  <si>
    <t>Benchmark name - Nifty 500 TRI</t>
  </si>
  <si>
    <t>Xtrackers Harvest CSI 300 China A-Shares ETF</t>
  </si>
  <si>
    <t>FINANCIAL SERVICES</t>
  </si>
  <si>
    <t>US2330518794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</si>
</sst>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
    <numFmt numFmtId="166" formatCode="\^"/>
    <numFmt numFmtId="167" formatCode="##0"/>
  </numFmts>
  <fonts count="9"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ck">
        <color auto="1"/>
      </left>
      <right style="thick">
        <color auto="1"/>
      </right>
      <top style="thick">
        <color auto="1"/>
      </top>
      <bottom style="thick">
        <color auto="1"/>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28">
    <xf numFmtId="0" fontId="0" fillId="0" borderId="0" xfId="0"/>
    <xf numFmtId="0" fontId="2" fillId="0" borderId="9" xfId="0" applyFont="1" applyBorder="1"/>
    <xf numFmtId="0" fontId="1" fillId="0" borderId="9" xfId="0" applyFont="1" applyBorder="1" applyAlignment="1">
      <alignment vertical="top" wrapText="1"/>
    </xf>
    <xf numFmtId="164" fontId="1" fillId="0" borderId="0" xfId="0" applyNumberFormat="1" applyFont="1" applyAlignment="1">
      <alignment wrapText="1"/>
    </xf>
    <xf numFmtId="0" fontId="2" fillId="0" borderId="0" xfId="0" applyFont="1" applyAlignment="1" applyProtection="1">
      <alignment vertical="top"/>
      <protection locked="0"/>
    </xf>
    <xf numFmtId="164" fontId="1" fillId="0" borderId="0" xfId="0" applyNumberFormat="1" applyFont="1"/>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3" fillId="0" borderId="0" xfId="0" applyFont="1"/>
    <xf numFmtId="164" fontId="3" fillId="0" borderId="0" xfId="0" applyNumberFormat="1" applyFont="1" applyAlignment="1">
      <alignment horizontal="right"/>
    </xf>
    <xf numFmtId="165" fontId="3" fillId="0" borderId="0" xfId="0" applyNumberFormat="1" applyFont="1" applyAlignment="1">
      <alignment horizontal="right"/>
    </xf>
    <xf numFmtId="164" fontId="1" fillId="0" borderId="5" xfId="0" applyNumberFormat="1" applyFont="1" applyBorder="1" applyAlignment="1">
      <alignment horizontal="right"/>
    </xf>
    <xf numFmtId="0" fontId="1" fillId="0" borderId="4" xfId="0" applyFont="1" applyBorder="1" applyAlignment="1">
      <alignment vertical="top"/>
    </xf>
    <xf numFmtId="164" fontId="1" fillId="0" borderId="0" xfId="0" applyNumberFormat="1" applyFont="1"/>
    <xf numFmtId="167" fontId="1" fillId="0" borderId="0" xfId="0" applyNumberFormat="1" applyFont="1" applyAlignment="1">
      <alignment horizontal="right"/>
    </xf>
    <xf numFmtId="164" fontId="1" fillId="0" borderId="0" xfId="0" applyNumberFormat="1" applyFont="1" applyAlignment="1">
      <alignment horizontal="right"/>
    </xf>
    <xf numFmtId="165" fontId="1" fillId="0" borderId="0" xfId="0" applyNumberFormat="1" applyFont="1" applyAlignment="1">
      <alignment horizontal="right"/>
    </xf>
    <xf numFmtId="166" fontId="1" fillId="0" borderId="0" xfId="0" applyNumberFormat="1" applyFont="1" applyAlignment="1">
      <alignment horizontal="right"/>
    </xf>
    <xf numFmtId="0" fontId="4" fillId="0" borderId="6" xfId="0" applyFont="1" applyBorder="1" applyAlignment="1">
      <alignment vertical="top"/>
    </xf>
    <xf numFmtId="164" fontId="3" fillId="0" borderId="7" xfId="0" applyNumberFormat="1" applyFont="1" applyBorder="1"/>
    <xf numFmtId="165" fontId="3" fillId="0" borderId="7" xfId="0" applyNumberFormat="1" applyFont="1" applyBorder="1"/>
    <xf numFmtId="164" fontId="3" fillId="0" borderId="8" xfId="0" applyNumberFormat="1" applyFont="1" applyBorder="1"/>
    <xf numFmtId="0" fontId="2" fillId="0" borderId="0" xfId="0" applyFont="1" applyAlignment="1" applyProtection="1">
      <alignment vertical="top"/>
      <protection locked="0"/>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164</xdr:row>
      <xdr:rowOff>0</xdr:rowOff>
    </xdr:from>
    <xdr:to>
      <xdr:col>2</xdr:col>
      <xdr:colOff>0</xdr:colOff>
      <xdr:row>174</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31508700"/>
          <a:ext cx="3705225" cy="1905000"/>
        </a:xfrm>
        <a:prstGeom prst="rect">
          <a:avLst/>
        </a:prstGeom>
        <a:ln w="9525" cmpd="sng">
          <a:noFill/>
        </a:ln>
      </xdr:spPr>
    </xdr:pic>
    <xdr:clientData/>
  </xdr:twoCellAnchor>
  <xdr:twoCellAnchor>
    <xdr:from>
      <xdr:col>1</xdr:col>
      <xdr:colOff>0</xdr:colOff>
      <xdr:row>179</xdr:row>
      <xdr:rowOff>0</xdr:rowOff>
    </xdr:from>
    <xdr:to>
      <xdr:col>2</xdr:col>
      <xdr:colOff>0</xdr:colOff>
      <xdr:row>189</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34366200"/>
          <a:ext cx="3705225"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8"/>
  <sheetViews>
    <sheetView tabSelected="1" topLeftCell="A106" workbookViewId="0">
      <selection activeCell="A118" sqref="A118"/>
    </sheetView>
  </sheetViews>
  <sheetFormatPr defaultColWidth="10" defaultRowHeight="15" customHeight="1" x14ac:dyDescent="0.2"/>
  <cols>
    <col min="1" max="1" width="10" style="27" customWidth="1" collapsed="1"/>
    <col min="2" max="2" width="55.5703125" style="27" bestFit="1" customWidth="1" collapsed="1"/>
    <col min="3" max="3" width="17.140625" style="27" bestFit="1" customWidth="1" collapsed="1"/>
    <col min="4" max="4" width="9.7109375" style="27" bestFit="1" customWidth="1" collapsed="1"/>
    <col min="5" max="5" width="38.7109375" style="27" bestFit="1" customWidth="1" collapsed="1"/>
    <col min="6" max="6" width="11" style="27" bestFit="1" customWidth="1" collapsed="1"/>
    <col min="7" max="7" width="38.7109375" style="27" bestFit="1" customWidth="1" collapsed="1"/>
    <col min="8" max="8" width="11.7109375" style="27" bestFit="1" customWidth="1" collapsed="1"/>
    <col min="9" max="9" width="29.7109375" style="27" bestFit="1" customWidth="1" collapsed="1"/>
    <col min="10" max="10" width="26.7109375" style="27" bestFit="1" customWidth="1" collapsed="1"/>
  </cols>
  <sheetData>
    <row r="1" spans="2:10" ht="15" customHeight="1" x14ac:dyDescent="0.2">
      <c r="B1" s="8" t="s">
        <v>0</v>
      </c>
      <c r="C1" s="8"/>
      <c r="D1" s="8"/>
      <c r="E1" s="8"/>
      <c r="F1" s="8"/>
      <c r="G1" s="8"/>
      <c r="H1" s="8"/>
      <c r="I1" s="8"/>
      <c r="J1" s="8"/>
    </row>
    <row r="2" spans="2:10" ht="15" customHeight="1" x14ac:dyDescent="0.2">
      <c r="B2" s="7" t="s">
        <v>1</v>
      </c>
      <c r="C2" s="7"/>
      <c r="D2" s="7"/>
      <c r="E2" s="7"/>
      <c r="F2" s="7"/>
      <c r="G2" s="7"/>
      <c r="H2" s="7"/>
      <c r="I2" s="7"/>
      <c r="J2" s="7"/>
    </row>
    <row r="3" spans="2:10" ht="15" customHeight="1" x14ac:dyDescent="0.2">
      <c r="B3" s="6" t="s">
        <v>2</v>
      </c>
      <c r="C3" s="6"/>
      <c r="D3" s="6"/>
      <c r="E3" s="6"/>
      <c r="F3" s="6"/>
      <c r="G3" s="6"/>
      <c r="H3" s="6"/>
      <c r="I3" s="6"/>
      <c r="J3" s="6"/>
    </row>
    <row r="4" spans="2:10" ht="15" customHeight="1" x14ac:dyDescent="0.2">
      <c r="B4" s="9" t="s">
        <v>3</v>
      </c>
      <c r="C4" s="10" t="s">
        <v>4</v>
      </c>
      <c r="D4" s="10" t="s">
        <v>5</v>
      </c>
      <c r="E4" s="10" t="s">
        <v>6</v>
      </c>
      <c r="F4" s="10" t="s">
        <v>7</v>
      </c>
      <c r="G4" s="10" t="s">
        <v>8</v>
      </c>
      <c r="H4" s="10" t="s">
        <v>9</v>
      </c>
      <c r="I4" s="11" t="s">
        <v>10</v>
      </c>
      <c r="J4" s="11" t="s">
        <v>11</v>
      </c>
    </row>
    <row r="5" spans="2:10" ht="15" customHeight="1" x14ac:dyDescent="0.2">
      <c r="B5" s="12" t="s">
        <v>12</v>
      </c>
      <c r="C5" s="13" t="s">
        <v>13</v>
      </c>
      <c r="D5" s="14" t="s">
        <v>13</v>
      </c>
      <c r="E5" s="13" t="s">
        <v>13</v>
      </c>
      <c r="F5" s="14" t="s">
        <v>13</v>
      </c>
      <c r="G5" s="14">
        <v>1046477.9299999997</v>
      </c>
      <c r="H5" s="15">
        <v>0.88822838571465357</v>
      </c>
      <c r="I5" s="14" t="s">
        <v>13</v>
      </c>
      <c r="J5" s="16" t="s">
        <v>13</v>
      </c>
    </row>
    <row r="6" spans="2:10" ht="15" customHeight="1" x14ac:dyDescent="0.2">
      <c r="B6" s="17" t="s">
        <v>13</v>
      </c>
      <c r="J6" s="16" t="s">
        <v>13</v>
      </c>
    </row>
    <row r="7" spans="2:10" ht="15" customHeight="1" x14ac:dyDescent="0.2">
      <c r="B7" s="12" t="s">
        <v>14</v>
      </c>
      <c r="C7" s="13" t="s">
        <v>13</v>
      </c>
      <c r="D7" s="14" t="s">
        <v>13</v>
      </c>
      <c r="E7" s="13" t="s">
        <v>13</v>
      </c>
      <c r="F7" s="14" t="s">
        <v>13</v>
      </c>
      <c r="G7" s="14">
        <v>1046477.9299999997</v>
      </c>
      <c r="H7" s="15">
        <v>0.88822838571465357</v>
      </c>
      <c r="I7" s="14" t="s">
        <v>13</v>
      </c>
      <c r="J7" s="16" t="s">
        <v>13</v>
      </c>
    </row>
    <row r="8" spans="2:10" ht="15" customHeight="1" x14ac:dyDescent="0.2">
      <c r="B8" s="17" t="s">
        <v>13</v>
      </c>
      <c r="J8" s="16" t="s">
        <v>13</v>
      </c>
    </row>
    <row r="9" spans="2:10" ht="15" customHeight="1" x14ac:dyDescent="0.2">
      <c r="B9" s="12" t="s">
        <v>15</v>
      </c>
      <c r="C9" s="13" t="s">
        <v>13</v>
      </c>
      <c r="D9" s="14" t="s">
        <v>13</v>
      </c>
      <c r="E9" s="13" t="s">
        <v>13</v>
      </c>
      <c r="F9" s="14" t="s">
        <v>13</v>
      </c>
      <c r="G9" s="14">
        <v>1007094.8999999997</v>
      </c>
      <c r="H9" s="15">
        <v>0.85480090085460037</v>
      </c>
      <c r="I9" s="14" t="s">
        <v>13</v>
      </c>
      <c r="J9" s="16" t="s">
        <v>13</v>
      </c>
    </row>
    <row r="10" spans="2:10" ht="15" customHeight="1" x14ac:dyDescent="0.2">
      <c r="B10" s="17" t="s">
        <v>16</v>
      </c>
      <c r="C10" s="18" t="s">
        <v>17</v>
      </c>
      <c r="D10" s="18" t="s">
        <v>13</v>
      </c>
      <c r="E10" s="18" t="s">
        <v>18</v>
      </c>
      <c r="F10" s="19">
        <v>5179868</v>
      </c>
      <c r="G10" s="20">
        <v>89906.97</v>
      </c>
      <c r="H10" s="21">
        <v>7.6311139048899995E-2</v>
      </c>
      <c r="I10" s="20" t="s">
        <v>13</v>
      </c>
      <c r="J10" s="16" t="s">
        <v>13</v>
      </c>
    </row>
    <row r="11" spans="2:10" ht="15" customHeight="1" x14ac:dyDescent="0.2">
      <c r="B11" s="17" t="s">
        <v>19</v>
      </c>
      <c r="C11" s="18" t="s">
        <v>20</v>
      </c>
      <c r="D11" s="18" t="s">
        <v>13</v>
      </c>
      <c r="E11" s="18" t="s">
        <v>18</v>
      </c>
      <c r="F11" s="19">
        <v>6051218</v>
      </c>
      <c r="G11" s="20">
        <v>78196.86</v>
      </c>
      <c r="H11" s="21">
        <v>6.6371844770700003E-2</v>
      </c>
      <c r="I11" s="20" t="s">
        <v>13</v>
      </c>
      <c r="J11" s="16" t="s">
        <v>13</v>
      </c>
    </row>
    <row r="12" spans="2:10" ht="15" customHeight="1" x14ac:dyDescent="0.2">
      <c r="B12" s="17" t="s">
        <v>21</v>
      </c>
      <c r="C12" s="18" t="s">
        <v>22</v>
      </c>
      <c r="D12" s="18" t="s">
        <v>13</v>
      </c>
      <c r="E12" s="18" t="s">
        <v>23</v>
      </c>
      <c r="F12" s="19">
        <v>2002401</v>
      </c>
      <c r="G12" s="20">
        <v>72532.97</v>
      </c>
      <c r="H12" s="21">
        <v>6.156445445E-2</v>
      </c>
      <c r="I12" s="20" t="s">
        <v>13</v>
      </c>
      <c r="J12" s="16" t="s">
        <v>13</v>
      </c>
    </row>
    <row r="13" spans="2:10" ht="15" customHeight="1" x14ac:dyDescent="0.2">
      <c r="B13" s="17" t="s">
        <v>24</v>
      </c>
      <c r="C13" s="18" t="s">
        <v>25</v>
      </c>
      <c r="D13" s="18" t="s">
        <v>13</v>
      </c>
      <c r="E13" s="18" t="s">
        <v>26</v>
      </c>
      <c r="F13" s="19">
        <v>4321540</v>
      </c>
      <c r="G13" s="20">
        <v>57565.07</v>
      </c>
      <c r="H13" s="21">
        <v>4.8860016760999998E-2</v>
      </c>
      <c r="I13" s="20" t="s">
        <v>13</v>
      </c>
      <c r="J13" s="16" t="s">
        <v>13</v>
      </c>
    </row>
    <row r="14" spans="2:10" ht="15" customHeight="1" x14ac:dyDescent="0.2">
      <c r="B14" s="17" t="s">
        <v>27</v>
      </c>
      <c r="C14" s="18" t="s">
        <v>28</v>
      </c>
      <c r="D14" s="18" t="s">
        <v>13</v>
      </c>
      <c r="E14" s="18" t="s">
        <v>29</v>
      </c>
      <c r="F14" s="19">
        <v>513895</v>
      </c>
      <c r="G14" s="20">
        <v>56865.82</v>
      </c>
      <c r="H14" s="21">
        <v>4.8266508115499998E-2</v>
      </c>
      <c r="I14" s="20" t="s">
        <v>13</v>
      </c>
      <c r="J14" s="16" t="s">
        <v>13</v>
      </c>
    </row>
    <row r="15" spans="2:10" ht="15" customHeight="1" x14ac:dyDescent="0.2">
      <c r="B15" s="17" t="s">
        <v>30</v>
      </c>
      <c r="C15" s="18" t="s">
        <v>31</v>
      </c>
      <c r="D15" s="18" t="s">
        <v>13</v>
      </c>
      <c r="E15" s="18" t="s">
        <v>32</v>
      </c>
      <c r="F15" s="19">
        <v>3080547</v>
      </c>
      <c r="G15" s="20">
        <v>49676.9</v>
      </c>
      <c r="H15" s="21">
        <v>4.2164704509700002E-2</v>
      </c>
      <c r="I15" s="20" t="s">
        <v>13</v>
      </c>
      <c r="J15" s="16" t="s">
        <v>13</v>
      </c>
    </row>
    <row r="16" spans="2:10" ht="15" customHeight="1" x14ac:dyDescent="0.2">
      <c r="B16" s="17" t="s">
        <v>33</v>
      </c>
      <c r="C16" s="18" t="s">
        <v>34</v>
      </c>
      <c r="D16" s="18" t="s">
        <v>13</v>
      </c>
      <c r="E16" s="18" t="s">
        <v>35</v>
      </c>
      <c r="F16" s="19">
        <v>402557</v>
      </c>
      <c r="G16" s="20">
        <v>44589.02</v>
      </c>
      <c r="H16" s="21">
        <v>3.7846219322800002E-2</v>
      </c>
      <c r="I16" s="20" t="s">
        <v>13</v>
      </c>
      <c r="J16" s="16" t="s">
        <v>13</v>
      </c>
    </row>
    <row r="17" spans="2:10" ht="15" customHeight="1" x14ac:dyDescent="0.2">
      <c r="B17" s="17" t="s">
        <v>36</v>
      </c>
      <c r="C17" s="18" t="s">
        <v>37</v>
      </c>
      <c r="D17" s="18" t="s">
        <v>13</v>
      </c>
      <c r="E17" s="18" t="s">
        <v>18</v>
      </c>
      <c r="F17" s="19">
        <v>3440055</v>
      </c>
      <c r="G17" s="20">
        <v>39889.160000000003</v>
      </c>
      <c r="H17" s="21">
        <v>3.3857077324500003E-2</v>
      </c>
      <c r="I17" s="20" t="s">
        <v>13</v>
      </c>
      <c r="J17" s="16" t="s">
        <v>13</v>
      </c>
    </row>
    <row r="18" spans="2:10" ht="15" customHeight="1" x14ac:dyDescent="0.2">
      <c r="B18" s="17" t="s">
        <v>38</v>
      </c>
      <c r="C18" s="18" t="s">
        <v>39</v>
      </c>
      <c r="D18" s="18" t="s">
        <v>13</v>
      </c>
      <c r="E18" s="18" t="s">
        <v>40</v>
      </c>
      <c r="F18" s="19">
        <v>2069801</v>
      </c>
      <c r="G18" s="20">
        <v>38268.550000000003</v>
      </c>
      <c r="H18" s="21">
        <v>3.2481537752299998E-2</v>
      </c>
      <c r="I18" s="20" t="s">
        <v>13</v>
      </c>
      <c r="J18" s="16" t="s">
        <v>13</v>
      </c>
    </row>
    <row r="19" spans="2:10" ht="15" customHeight="1" x14ac:dyDescent="0.2">
      <c r="B19" s="17" t="s">
        <v>41</v>
      </c>
      <c r="C19" s="18" t="s">
        <v>42</v>
      </c>
      <c r="D19" s="18" t="s">
        <v>13</v>
      </c>
      <c r="E19" s="18" t="s">
        <v>43</v>
      </c>
      <c r="F19" s="19">
        <v>8819742</v>
      </c>
      <c r="G19" s="20">
        <v>35997.78</v>
      </c>
      <c r="H19" s="21">
        <v>3.0554156090799998E-2</v>
      </c>
      <c r="I19" s="20" t="s">
        <v>13</v>
      </c>
      <c r="J19" s="16" t="s">
        <v>13</v>
      </c>
    </row>
    <row r="20" spans="2:10" ht="15" customHeight="1" x14ac:dyDescent="0.2">
      <c r="B20" s="17" t="s">
        <v>44</v>
      </c>
      <c r="C20" s="18" t="s">
        <v>45</v>
      </c>
      <c r="D20" s="18" t="s">
        <v>13</v>
      </c>
      <c r="E20" s="18" t="s">
        <v>46</v>
      </c>
      <c r="F20" s="19">
        <v>937552</v>
      </c>
      <c r="G20" s="20">
        <v>32819.949999999997</v>
      </c>
      <c r="H20" s="21">
        <v>2.7856881040799999E-2</v>
      </c>
      <c r="I20" s="20" t="s">
        <v>13</v>
      </c>
      <c r="J20" s="16" t="s">
        <v>13</v>
      </c>
    </row>
    <row r="21" spans="2:10" ht="15" customHeight="1" x14ac:dyDescent="0.2">
      <c r="B21" s="17" t="s">
        <v>47</v>
      </c>
      <c r="C21" s="18" t="s">
        <v>48</v>
      </c>
      <c r="D21" s="18" t="s">
        <v>13</v>
      </c>
      <c r="E21" s="18" t="s">
        <v>35</v>
      </c>
      <c r="F21" s="19">
        <v>607764</v>
      </c>
      <c r="G21" s="20">
        <v>30324.69</v>
      </c>
      <c r="H21" s="21">
        <v>2.5738957004100001E-2</v>
      </c>
      <c r="I21" s="20" t="s">
        <v>13</v>
      </c>
      <c r="J21" s="16" t="s">
        <v>13</v>
      </c>
    </row>
    <row r="22" spans="2:10" ht="15" customHeight="1" x14ac:dyDescent="0.2">
      <c r="B22" s="17" t="s">
        <v>49</v>
      </c>
      <c r="C22" s="18" t="s">
        <v>50</v>
      </c>
      <c r="D22" s="18" t="s">
        <v>13</v>
      </c>
      <c r="E22" s="18" t="s">
        <v>40</v>
      </c>
      <c r="F22" s="19">
        <v>1072344</v>
      </c>
      <c r="G22" s="20">
        <v>23451.63</v>
      </c>
      <c r="H22" s="21">
        <v>1.9905248701500001E-2</v>
      </c>
      <c r="I22" s="20" t="s">
        <v>13</v>
      </c>
      <c r="J22" s="16" t="s">
        <v>13</v>
      </c>
    </row>
    <row r="23" spans="2:10" ht="15" customHeight="1" x14ac:dyDescent="0.2">
      <c r="B23" s="17" t="s">
        <v>51</v>
      </c>
      <c r="C23" s="18" t="s">
        <v>52</v>
      </c>
      <c r="D23" s="18" t="s">
        <v>13</v>
      </c>
      <c r="E23" s="18" t="s">
        <v>53</v>
      </c>
      <c r="F23" s="19">
        <v>522146</v>
      </c>
      <c r="G23" s="20">
        <v>21159.97</v>
      </c>
      <c r="H23" s="21">
        <v>1.79601360488E-2</v>
      </c>
      <c r="I23" s="20" t="s">
        <v>13</v>
      </c>
      <c r="J23" s="16" t="s">
        <v>13</v>
      </c>
    </row>
    <row r="24" spans="2:10" ht="15" customHeight="1" x14ac:dyDescent="0.2">
      <c r="B24" s="17" t="s">
        <v>54</v>
      </c>
      <c r="C24" s="18" t="s">
        <v>55</v>
      </c>
      <c r="D24" s="18" t="s">
        <v>13</v>
      </c>
      <c r="E24" s="18" t="s">
        <v>56</v>
      </c>
      <c r="F24" s="19">
        <v>2795192</v>
      </c>
      <c r="G24" s="20">
        <v>20129.580000000002</v>
      </c>
      <c r="H24" s="21">
        <v>1.7085562758600001E-2</v>
      </c>
      <c r="I24" s="20" t="s">
        <v>13</v>
      </c>
      <c r="J24" s="16" t="s">
        <v>13</v>
      </c>
    </row>
    <row r="25" spans="2:10" ht="15" customHeight="1" x14ac:dyDescent="0.2">
      <c r="B25" s="17" t="s">
        <v>57</v>
      </c>
      <c r="C25" s="18" t="s">
        <v>58</v>
      </c>
      <c r="D25" s="18" t="s">
        <v>13</v>
      </c>
      <c r="E25" s="18" t="s">
        <v>56</v>
      </c>
      <c r="F25" s="19">
        <v>2656716</v>
      </c>
      <c r="G25" s="20">
        <v>19686.27</v>
      </c>
      <c r="H25" s="21">
        <v>1.6709290584699998E-2</v>
      </c>
      <c r="I25" s="20" t="s">
        <v>13</v>
      </c>
      <c r="J25" s="16" t="s">
        <v>13</v>
      </c>
    </row>
    <row r="26" spans="2:10" ht="15" customHeight="1" x14ac:dyDescent="0.2">
      <c r="B26" s="17" t="s">
        <v>59</v>
      </c>
      <c r="C26" s="18" t="s">
        <v>60</v>
      </c>
      <c r="D26" s="18" t="s">
        <v>13</v>
      </c>
      <c r="E26" s="18" t="s">
        <v>40</v>
      </c>
      <c r="F26" s="19">
        <v>1300090</v>
      </c>
      <c r="G26" s="20">
        <v>18155.759999999998</v>
      </c>
      <c r="H26" s="21">
        <v>1.54102259913E-2</v>
      </c>
      <c r="I26" s="20" t="s">
        <v>13</v>
      </c>
      <c r="J26" s="16" t="s">
        <v>13</v>
      </c>
    </row>
    <row r="27" spans="2:10" ht="15" customHeight="1" x14ac:dyDescent="0.2">
      <c r="B27" s="17" t="s">
        <v>61</v>
      </c>
      <c r="C27" s="18" t="s">
        <v>62</v>
      </c>
      <c r="D27" s="18" t="s">
        <v>13</v>
      </c>
      <c r="E27" s="18" t="s">
        <v>63</v>
      </c>
      <c r="F27" s="19">
        <v>2100711</v>
      </c>
      <c r="G27" s="20">
        <v>17222.68</v>
      </c>
      <c r="H27" s="21">
        <v>1.46182473758E-2</v>
      </c>
      <c r="I27" s="20" t="s">
        <v>13</v>
      </c>
      <c r="J27" s="16" t="s">
        <v>13</v>
      </c>
    </row>
    <row r="28" spans="2:10" ht="15" customHeight="1" x14ac:dyDescent="0.2">
      <c r="B28" s="17" t="s">
        <v>64</v>
      </c>
      <c r="C28" s="18" t="s">
        <v>65</v>
      </c>
      <c r="D28" s="18" t="s">
        <v>13</v>
      </c>
      <c r="E28" s="18" t="s">
        <v>35</v>
      </c>
      <c r="F28" s="19">
        <v>1892095</v>
      </c>
      <c r="G28" s="20">
        <v>15781.02</v>
      </c>
      <c r="H28" s="21">
        <v>1.3394596787700001E-2</v>
      </c>
      <c r="I28" s="20" t="s">
        <v>13</v>
      </c>
      <c r="J28" s="16" t="s">
        <v>13</v>
      </c>
    </row>
    <row r="29" spans="2:10" ht="15" customHeight="1" x14ac:dyDescent="0.2">
      <c r="B29" s="17" t="s">
        <v>66</v>
      </c>
      <c r="C29" s="18" t="s">
        <v>67</v>
      </c>
      <c r="D29" s="18" t="s">
        <v>13</v>
      </c>
      <c r="E29" s="18" t="s">
        <v>18</v>
      </c>
      <c r="F29" s="19">
        <v>821899</v>
      </c>
      <c r="G29" s="20">
        <v>14227.89</v>
      </c>
      <c r="H29" s="21">
        <v>1.2076332815599999E-2</v>
      </c>
      <c r="I29" s="20" t="s">
        <v>13</v>
      </c>
      <c r="J29" s="16" t="s">
        <v>13</v>
      </c>
    </row>
    <row r="30" spans="2:10" ht="15" customHeight="1" x14ac:dyDescent="0.2">
      <c r="B30" s="17" t="s">
        <v>68</v>
      </c>
      <c r="C30" s="18" t="s">
        <v>69</v>
      </c>
      <c r="D30" s="18" t="s">
        <v>13</v>
      </c>
      <c r="E30" s="18" t="s">
        <v>29</v>
      </c>
      <c r="F30" s="19">
        <v>53318</v>
      </c>
      <c r="G30" s="20">
        <v>13367.97</v>
      </c>
      <c r="H30" s="21">
        <v>1.1346450864300001E-2</v>
      </c>
      <c r="I30" s="20" t="s">
        <v>13</v>
      </c>
      <c r="J30" s="16" t="s">
        <v>13</v>
      </c>
    </row>
    <row r="31" spans="2:10" ht="15" customHeight="1" x14ac:dyDescent="0.2">
      <c r="B31" s="17" t="s">
        <v>70</v>
      </c>
      <c r="C31" s="18" t="s">
        <v>71</v>
      </c>
      <c r="D31" s="18" t="s">
        <v>13</v>
      </c>
      <c r="E31" s="18" t="s">
        <v>43</v>
      </c>
      <c r="F31" s="19">
        <v>4146307</v>
      </c>
      <c r="G31" s="20">
        <v>13301.35</v>
      </c>
      <c r="H31" s="21">
        <v>1.1289905214099999E-2</v>
      </c>
      <c r="I31" s="20" t="s">
        <v>13</v>
      </c>
      <c r="J31" s="16" t="s">
        <v>13</v>
      </c>
    </row>
    <row r="32" spans="2:10" ht="15" customHeight="1" x14ac:dyDescent="0.2">
      <c r="B32" s="17" t="s">
        <v>72</v>
      </c>
      <c r="C32" s="18" t="s">
        <v>73</v>
      </c>
      <c r="D32" s="18" t="s">
        <v>13</v>
      </c>
      <c r="E32" s="18" t="s">
        <v>74</v>
      </c>
      <c r="F32" s="19">
        <v>186400</v>
      </c>
      <c r="G32" s="20">
        <v>13003.82</v>
      </c>
      <c r="H32" s="21">
        <v>1.10373680281E-2</v>
      </c>
      <c r="I32" s="20" t="s">
        <v>13</v>
      </c>
      <c r="J32" s="16" t="s">
        <v>13</v>
      </c>
    </row>
    <row r="33" spans="2:10" ht="15" customHeight="1" x14ac:dyDescent="0.2">
      <c r="B33" s="17" t="s">
        <v>75</v>
      </c>
      <c r="C33" s="18" t="s">
        <v>76</v>
      </c>
      <c r="D33" s="18" t="s">
        <v>13</v>
      </c>
      <c r="E33" s="18" t="s">
        <v>56</v>
      </c>
      <c r="F33" s="19">
        <v>774944</v>
      </c>
      <c r="G33" s="20">
        <v>12570.75</v>
      </c>
      <c r="H33" s="21">
        <v>1.0669787350099999E-2</v>
      </c>
      <c r="I33" s="20" t="s">
        <v>13</v>
      </c>
      <c r="J33" s="16" t="s">
        <v>13</v>
      </c>
    </row>
    <row r="34" spans="2:10" ht="15" customHeight="1" x14ac:dyDescent="0.2">
      <c r="B34" s="17" t="s">
        <v>77</v>
      </c>
      <c r="C34" s="18" t="s">
        <v>78</v>
      </c>
      <c r="D34" s="18" t="s">
        <v>13</v>
      </c>
      <c r="E34" s="18" t="s">
        <v>79</v>
      </c>
      <c r="F34" s="19">
        <v>290710</v>
      </c>
      <c r="G34" s="20">
        <v>12498.93</v>
      </c>
      <c r="H34" s="21">
        <v>1.06088280496E-2</v>
      </c>
      <c r="I34" s="20" t="s">
        <v>13</v>
      </c>
      <c r="J34" s="16" t="s">
        <v>13</v>
      </c>
    </row>
    <row r="35" spans="2:10" ht="15" customHeight="1" x14ac:dyDescent="0.2">
      <c r="B35" s="17" t="s">
        <v>80</v>
      </c>
      <c r="C35" s="18" t="s">
        <v>81</v>
      </c>
      <c r="D35" s="18" t="s">
        <v>13</v>
      </c>
      <c r="E35" s="18" t="s">
        <v>56</v>
      </c>
      <c r="F35" s="19">
        <v>951443</v>
      </c>
      <c r="G35" s="20">
        <v>12207.01</v>
      </c>
      <c r="H35" s="21">
        <v>1.0361052513300001E-2</v>
      </c>
      <c r="I35" s="20" t="s">
        <v>13</v>
      </c>
      <c r="J35" s="16" t="s">
        <v>13</v>
      </c>
    </row>
    <row r="36" spans="2:10" ht="15" customHeight="1" x14ac:dyDescent="0.2">
      <c r="B36" s="17" t="s">
        <v>82</v>
      </c>
      <c r="C36" s="18" t="s">
        <v>83</v>
      </c>
      <c r="D36" s="18" t="s">
        <v>13</v>
      </c>
      <c r="E36" s="18" t="s">
        <v>84</v>
      </c>
      <c r="F36" s="19">
        <v>2450000</v>
      </c>
      <c r="G36" s="20">
        <v>11369.23</v>
      </c>
      <c r="H36" s="21">
        <v>9.6499625269000008E-3</v>
      </c>
      <c r="I36" s="20" t="s">
        <v>13</v>
      </c>
      <c r="J36" s="16" t="s">
        <v>13</v>
      </c>
    </row>
    <row r="37" spans="2:10" ht="15" customHeight="1" x14ac:dyDescent="0.2">
      <c r="B37" s="17" t="s">
        <v>85</v>
      </c>
      <c r="C37" s="18" t="s">
        <v>86</v>
      </c>
      <c r="D37" s="18" t="s">
        <v>13</v>
      </c>
      <c r="E37" s="18" t="s">
        <v>87</v>
      </c>
      <c r="F37" s="19">
        <v>1620490</v>
      </c>
      <c r="G37" s="20">
        <v>11117.37</v>
      </c>
      <c r="H37" s="21">
        <v>9.4361890733000008E-3</v>
      </c>
      <c r="I37" s="20" t="s">
        <v>13</v>
      </c>
      <c r="J37" s="16" t="s">
        <v>13</v>
      </c>
    </row>
    <row r="38" spans="2:10" ht="15" customHeight="1" x14ac:dyDescent="0.2">
      <c r="B38" s="17" t="s">
        <v>88</v>
      </c>
      <c r="C38" s="18" t="s">
        <v>89</v>
      </c>
      <c r="D38" s="18" t="s">
        <v>13</v>
      </c>
      <c r="E38" s="18" t="s">
        <v>90</v>
      </c>
      <c r="F38" s="19">
        <v>4667161</v>
      </c>
      <c r="G38" s="20">
        <v>9211.58</v>
      </c>
      <c r="H38" s="21">
        <v>7.8185947345000006E-3</v>
      </c>
      <c r="I38" s="20" t="s">
        <v>13</v>
      </c>
      <c r="J38" s="16" t="s">
        <v>13</v>
      </c>
    </row>
    <row r="39" spans="2:10" ht="15" customHeight="1" x14ac:dyDescent="0.2">
      <c r="B39" s="17" t="s">
        <v>91</v>
      </c>
      <c r="C39" s="18" t="s">
        <v>92</v>
      </c>
      <c r="D39" s="18" t="s">
        <v>13</v>
      </c>
      <c r="E39" s="18" t="s">
        <v>26</v>
      </c>
      <c r="F39" s="19">
        <v>2742734</v>
      </c>
      <c r="G39" s="20">
        <v>8523.0499999999993</v>
      </c>
      <c r="H39" s="21">
        <v>7.2341849989000003E-3</v>
      </c>
      <c r="I39" s="20" t="s">
        <v>13</v>
      </c>
      <c r="J39" s="16" t="s">
        <v>13</v>
      </c>
    </row>
    <row r="40" spans="2:10" ht="15" customHeight="1" x14ac:dyDescent="0.2">
      <c r="B40" s="17" t="s">
        <v>93</v>
      </c>
      <c r="C40" s="18" t="s">
        <v>94</v>
      </c>
      <c r="D40" s="18" t="s">
        <v>13</v>
      </c>
      <c r="E40" s="18" t="s">
        <v>29</v>
      </c>
      <c r="F40" s="19">
        <v>1185769</v>
      </c>
      <c r="G40" s="20">
        <v>6883.98</v>
      </c>
      <c r="H40" s="21">
        <v>5.8429769681000001E-3</v>
      </c>
      <c r="I40" s="20" t="s">
        <v>13</v>
      </c>
      <c r="J40" s="16" t="s">
        <v>13</v>
      </c>
    </row>
    <row r="41" spans="2:10" ht="15" customHeight="1" x14ac:dyDescent="0.2">
      <c r="B41" s="17" t="s">
        <v>95</v>
      </c>
      <c r="C41" s="18" t="s">
        <v>96</v>
      </c>
      <c r="D41" s="18" t="s">
        <v>13</v>
      </c>
      <c r="E41" s="18" t="s">
        <v>97</v>
      </c>
      <c r="F41" s="19">
        <v>1057003</v>
      </c>
      <c r="G41" s="20">
        <v>6607.85</v>
      </c>
      <c r="H41" s="21">
        <v>5.6086036506000003E-3</v>
      </c>
      <c r="I41" s="20" t="s">
        <v>13</v>
      </c>
      <c r="J41" s="16" t="s">
        <v>13</v>
      </c>
    </row>
    <row r="42" spans="2:10" ht="15" customHeight="1" x14ac:dyDescent="0.2">
      <c r="B42" s="17" t="s">
        <v>98</v>
      </c>
      <c r="C42" s="18" t="s">
        <v>99</v>
      </c>
      <c r="D42" s="18" t="s">
        <v>13</v>
      </c>
      <c r="E42" s="18" t="s">
        <v>63</v>
      </c>
      <c r="F42" s="19">
        <v>303592</v>
      </c>
      <c r="G42" s="20">
        <v>5971.05</v>
      </c>
      <c r="H42" s="21">
        <v>5.0681012474999999E-3</v>
      </c>
      <c r="I42" s="20" t="s">
        <v>13</v>
      </c>
      <c r="J42" s="16" t="s">
        <v>13</v>
      </c>
    </row>
    <row r="43" spans="2:10" ht="15" customHeight="1" x14ac:dyDescent="0.2">
      <c r="B43" s="17" t="s">
        <v>100</v>
      </c>
      <c r="C43" s="18" t="s">
        <v>101</v>
      </c>
      <c r="D43" s="18" t="s">
        <v>13</v>
      </c>
      <c r="E43" s="18" t="s">
        <v>102</v>
      </c>
      <c r="F43" s="19">
        <v>12891</v>
      </c>
      <c r="G43" s="20">
        <v>5564.25</v>
      </c>
      <c r="H43" s="21">
        <v>4.7228179912000004E-3</v>
      </c>
      <c r="I43" s="20" t="s">
        <v>13</v>
      </c>
      <c r="J43" s="16" t="s">
        <v>13</v>
      </c>
    </row>
    <row r="44" spans="2:10" ht="15" customHeight="1" x14ac:dyDescent="0.2">
      <c r="B44" s="17" t="s">
        <v>103</v>
      </c>
      <c r="C44" s="18" t="s">
        <v>104</v>
      </c>
      <c r="D44" s="18" t="s">
        <v>13</v>
      </c>
      <c r="E44" s="18" t="s">
        <v>40</v>
      </c>
      <c r="F44" s="19">
        <v>349082</v>
      </c>
      <c r="G44" s="20">
        <v>5546.21</v>
      </c>
      <c r="H44" s="21">
        <v>4.7075060198000004E-3</v>
      </c>
      <c r="I44" s="20" t="s">
        <v>13</v>
      </c>
      <c r="J44" s="16" t="s">
        <v>13</v>
      </c>
    </row>
    <row r="45" spans="2:10" ht="15" customHeight="1" x14ac:dyDescent="0.2">
      <c r="B45" s="17" t="s">
        <v>105</v>
      </c>
      <c r="C45" s="18" t="s">
        <v>106</v>
      </c>
      <c r="D45" s="18" t="s">
        <v>13</v>
      </c>
      <c r="E45" s="18" t="s">
        <v>107</v>
      </c>
      <c r="F45" s="19">
        <v>351193</v>
      </c>
      <c r="G45" s="20">
        <v>5398.71</v>
      </c>
      <c r="H45" s="21">
        <v>4.5823111321999996E-3</v>
      </c>
      <c r="I45" s="20" t="s">
        <v>13</v>
      </c>
      <c r="J45" s="16" t="s">
        <v>13</v>
      </c>
    </row>
    <row r="46" spans="2:10" ht="15" customHeight="1" x14ac:dyDescent="0.2">
      <c r="B46" s="17" t="s">
        <v>108</v>
      </c>
      <c r="C46" s="18" t="s">
        <v>109</v>
      </c>
      <c r="D46" s="18" t="s">
        <v>13</v>
      </c>
      <c r="E46" s="18" t="s">
        <v>18</v>
      </c>
      <c r="F46" s="19">
        <v>2147333</v>
      </c>
      <c r="G46" s="20">
        <v>5388.95</v>
      </c>
      <c r="H46" s="21">
        <v>4.5740270501000001E-3</v>
      </c>
      <c r="I46" s="20" t="s">
        <v>13</v>
      </c>
      <c r="J46" s="16" t="s">
        <v>13</v>
      </c>
    </row>
    <row r="47" spans="2:10" ht="15" customHeight="1" x14ac:dyDescent="0.2">
      <c r="B47" s="17" t="s">
        <v>110</v>
      </c>
      <c r="C47" s="18" t="s">
        <v>111</v>
      </c>
      <c r="D47" s="18" t="s">
        <v>13</v>
      </c>
      <c r="E47" s="18" t="s">
        <v>18</v>
      </c>
      <c r="F47" s="19">
        <v>4362199</v>
      </c>
      <c r="G47" s="20">
        <v>5111.1899999999996</v>
      </c>
      <c r="H47" s="21">
        <v>4.3382702230000004E-3</v>
      </c>
      <c r="I47" s="20" t="s">
        <v>13</v>
      </c>
      <c r="J47" s="16" t="s">
        <v>13</v>
      </c>
    </row>
    <row r="48" spans="2:10" ht="15" customHeight="1" x14ac:dyDescent="0.2">
      <c r="B48" s="17" t="s">
        <v>112</v>
      </c>
      <c r="C48" s="18" t="s">
        <v>113</v>
      </c>
      <c r="D48" s="18" t="s">
        <v>13</v>
      </c>
      <c r="E48" s="18" t="s">
        <v>46</v>
      </c>
      <c r="F48" s="19">
        <v>920791</v>
      </c>
      <c r="G48" s="20">
        <v>4879.7299999999996</v>
      </c>
      <c r="H48" s="21">
        <v>4.1418118589000002E-3</v>
      </c>
      <c r="I48" s="20" t="s">
        <v>13</v>
      </c>
      <c r="J48" s="16" t="s">
        <v>13</v>
      </c>
    </row>
    <row r="49" spans="2:10" ht="15" customHeight="1" x14ac:dyDescent="0.2">
      <c r="B49" s="17" t="s">
        <v>114</v>
      </c>
      <c r="C49" s="18" t="s">
        <v>115</v>
      </c>
      <c r="D49" s="18" t="s">
        <v>13</v>
      </c>
      <c r="E49" s="18" t="s">
        <v>116</v>
      </c>
      <c r="F49" s="19">
        <v>562274</v>
      </c>
      <c r="G49" s="20">
        <v>4836.96</v>
      </c>
      <c r="H49" s="21">
        <v>4.1055095854000004E-3</v>
      </c>
      <c r="I49" s="20" t="s">
        <v>13</v>
      </c>
      <c r="J49" s="16" t="s">
        <v>13</v>
      </c>
    </row>
    <row r="50" spans="2:10" ht="15" customHeight="1" x14ac:dyDescent="0.2">
      <c r="B50" s="17" t="s">
        <v>117</v>
      </c>
      <c r="C50" s="18" t="s">
        <v>118</v>
      </c>
      <c r="D50" s="18" t="s">
        <v>13</v>
      </c>
      <c r="E50" s="18" t="s">
        <v>46</v>
      </c>
      <c r="F50" s="19">
        <v>134078</v>
      </c>
      <c r="G50" s="20">
        <v>4543.57</v>
      </c>
      <c r="H50" s="21">
        <v>3.8564863440999999E-3</v>
      </c>
      <c r="I50" s="20" t="s">
        <v>13</v>
      </c>
      <c r="J50" s="16" t="s">
        <v>13</v>
      </c>
    </row>
    <row r="51" spans="2:10" ht="15" customHeight="1" x14ac:dyDescent="0.2">
      <c r="B51" s="17" t="s">
        <v>119</v>
      </c>
      <c r="C51" s="18" t="s">
        <v>120</v>
      </c>
      <c r="D51" s="18" t="s">
        <v>13</v>
      </c>
      <c r="E51" s="18" t="s">
        <v>29</v>
      </c>
      <c r="F51" s="19">
        <v>380320</v>
      </c>
      <c r="G51" s="20">
        <v>4442.33</v>
      </c>
      <c r="H51" s="21">
        <v>3.7705559683000002E-3</v>
      </c>
      <c r="I51" s="20" t="s">
        <v>13</v>
      </c>
      <c r="J51" s="16" t="s">
        <v>13</v>
      </c>
    </row>
    <row r="52" spans="2:10" ht="15" customHeight="1" x14ac:dyDescent="0.2">
      <c r="B52" s="17" t="s">
        <v>121</v>
      </c>
      <c r="C52" s="18" t="s">
        <v>122</v>
      </c>
      <c r="D52" s="18" t="s">
        <v>13</v>
      </c>
      <c r="E52" s="18" t="s">
        <v>79</v>
      </c>
      <c r="F52" s="19">
        <v>483909</v>
      </c>
      <c r="G52" s="20">
        <v>4198.3900000000003</v>
      </c>
      <c r="H52" s="21">
        <v>3.5635048436000001E-3</v>
      </c>
      <c r="I52" s="20" t="s">
        <v>13</v>
      </c>
      <c r="J52" s="16" t="s">
        <v>13</v>
      </c>
    </row>
    <row r="53" spans="2:10" ht="15" customHeight="1" x14ac:dyDescent="0.2">
      <c r="B53" s="17" t="s">
        <v>123</v>
      </c>
      <c r="C53" s="18" t="s">
        <v>124</v>
      </c>
      <c r="D53" s="18" t="s">
        <v>13</v>
      </c>
      <c r="E53" s="18" t="s">
        <v>79</v>
      </c>
      <c r="F53" s="19">
        <v>575715</v>
      </c>
      <c r="G53" s="20">
        <v>4077.21</v>
      </c>
      <c r="H53" s="21">
        <v>3.4606498166E-3</v>
      </c>
      <c r="I53" s="20" t="s">
        <v>13</v>
      </c>
      <c r="J53" s="16" t="s">
        <v>13</v>
      </c>
    </row>
    <row r="54" spans="2:10" ht="15" customHeight="1" x14ac:dyDescent="0.2">
      <c r="B54" s="17" t="s">
        <v>125</v>
      </c>
      <c r="C54" s="18" t="s">
        <v>126</v>
      </c>
      <c r="D54" s="18" t="s">
        <v>13</v>
      </c>
      <c r="E54" s="18" t="s">
        <v>127</v>
      </c>
      <c r="F54" s="19">
        <v>30299</v>
      </c>
      <c r="G54" s="20">
        <v>3779.94</v>
      </c>
      <c r="H54" s="21">
        <v>3.2083333131000002E-3</v>
      </c>
      <c r="I54" s="20" t="s">
        <v>13</v>
      </c>
      <c r="J54" s="16" t="s">
        <v>13</v>
      </c>
    </row>
    <row r="55" spans="2:10" ht="15" customHeight="1" x14ac:dyDescent="0.2">
      <c r="B55" s="17" t="s">
        <v>128</v>
      </c>
      <c r="C55" s="18" t="s">
        <v>129</v>
      </c>
      <c r="D55" s="18" t="s">
        <v>13</v>
      </c>
      <c r="E55" s="18" t="s">
        <v>29</v>
      </c>
      <c r="F55" s="19">
        <v>135990</v>
      </c>
      <c r="G55" s="20">
        <v>3666.09</v>
      </c>
      <c r="H55" s="21">
        <v>3.1116998353999999E-3</v>
      </c>
      <c r="I55" s="20" t="s">
        <v>13</v>
      </c>
      <c r="J55" s="16" t="s">
        <v>13</v>
      </c>
    </row>
    <row r="56" spans="2:10" ht="15" customHeight="1" x14ac:dyDescent="0.2">
      <c r="B56" s="17" t="s">
        <v>130</v>
      </c>
      <c r="C56" s="18" t="s">
        <v>131</v>
      </c>
      <c r="D56" s="18" t="s">
        <v>13</v>
      </c>
      <c r="E56" s="18" t="s">
        <v>40</v>
      </c>
      <c r="F56" s="19">
        <v>58578</v>
      </c>
      <c r="G56" s="20">
        <v>3385.37</v>
      </c>
      <c r="H56" s="21">
        <v>2.8734306228000001E-3</v>
      </c>
      <c r="I56" s="20" t="s">
        <v>13</v>
      </c>
      <c r="J56" s="16" t="s">
        <v>13</v>
      </c>
    </row>
    <row r="57" spans="2:10" ht="15" customHeight="1" x14ac:dyDescent="0.2">
      <c r="B57" s="17" t="s">
        <v>132</v>
      </c>
      <c r="C57" s="18" t="s">
        <v>133</v>
      </c>
      <c r="D57" s="18" t="s">
        <v>13</v>
      </c>
      <c r="E57" s="18" t="s">
        <v>35</v>
      </c>
      <c r="F57" s="19">
        <v>183465</v>
      </c>
      <c r="G57" s="20">
        <v>3343.74</v>
      </c>
      <c r="H57" s="21">
        <v>2.8380959571999999E-3</v>
      </c>
      <c r="I57" s="20" t="s">
        <v>13</v>
      </c>
      <c r="J57" s="16" t="s">
        <v>13</v>
      </c>
    </row>
    <row r="58" spans="2:10" ht="15" customHeight="1" x14ac:dyDescent="0.2">
      <c r="B58" s="17" t="s">
        <v>134</v>
      </c>
      <c r="C58" s="18" t="s">
        <v>135</v>
      </c>
      <c r="D58" s="18" t="s">
        <v>13</v>
      </c>
      <c r="E58" s="18" t="s">
        <v>136</v>
      </c>
      <c r="F58" s="19">
        <v>808584</v>
      </c>
      <c r="G58" s="20">
        <v>3146.2</v>
      </c>
      <c r="H58" s="21">
        <v>2.6704281734E-3</v>
      </c>
      <c r="I58" s="20" t="s">
        <v>13</v>
      </c>
      <c r="J58" s="16" t="s">
        <v>13</v>
      </c>
    </row>
    <row r="59" spans="2:10" ht="15" customHeight="1" x14ac:dyDescent="0.2">
      <c r="B59" s="17" t="s">
        <v>137</v>
      </c>
      <c r="C59" s="18" t="s">
        <v>138</v>
      </c>
      <c r="D59" s="18" t="s">
        <v>13</v>
      </c>
      <c r="E59" s="18" t="s">
        <v>127</v>
      </c>
      <c r="F59" s="19">
        <v>2165284</v>
      </c>
      <c r="G59" s="20">
        <v>3037.68</v>
      </c>
      <c r="H59" s="21">
        <v>2.5783186872E-3</v>
      </c>
      <c r="I59" s="20" t="s">
        <v>13</v>
      </c>
      <c r="J59" s="16" t="s">
        <v>13</v>
      </c>
    </row>
    <row r="60" spans="2:10" ht="15" customHeight="1" x14ac:dyDescent="0.2">
      <c r="B60" s="17" t="s">
        <v>139</v>
      </c>
      <c r="C60" s="18" t="s">
        <v>140</v>
      </c>
      <c r="D60" s="18" t="s">
        <v>13</v>
      </c>
      <c r="E60" s="18" t="s">
        <v>141</v>
      </c>
      <c r="F60" s="19">
        <v>85390</v>
      </c>
      <c r="G60" s="20">
        <v>2933.92</v>
      </c>
      <c r="H60" s="21">
        <v>2.4902493886000002E-3</v>
      </c>
      <c r="I60" s="20" t="s">
        <v>13</v>
      </c>
      <c r="J60" s="16" t="s">
        <v>13</v>
      </c>
    </row>
    <row r="61" spans="2:10" ht="15" customHeight="1" x14ac:dyDescent="0.2">
      <c r="B61" s="17" t="s">
        <v>142</v>
      </c>
      <c r="C61" s="18" t="s">
        <v>143</v>
      </c>
      <c r="D61" s="18" t="s">
        <v>13</v>
      </c>
      <c r="E61" s="18" t="s">
        <v>63</v>
      </c>
      <c r="F61" s="19">
        <v>167505</v>
      </c>
      <c r="G61" s="20">
        <v>2741.14</v>
      </c>
      <c r="H61" s="21">
        <v>2.3266217923999999E-3</v>
      </c>
      <c r="I61" s="20" t="s">
        <v>13</v>
      </c>
      <c r="J61" s="16" t="s">
        <v>13</v>
      </c>
    </row>
    <row r="62" spans="2:10" ht="15" customHeight="1" x14ac:dyDescent="0.2">
      <c r="B62" s="17" t="s">
        <v>144</v>
      </c>
      <c r="C62" s="18" t="s">
        <v>145</v>
      </c>
      <c r="D62" s="18" t="s">
        <v>13</v>
      </c>
      <c r="E62" s="18" t="s">
        <v>40</v>
      </c>
      <c r="F62" s="19">
        <v>269892</v>
      </c>
      <c r="G62" s="20">
        <v>2702.29</v>
      </c>
      <c r="H62" s="21">
        <v>2.2936467320999999E-3</v>
      </c>
      <c r="I62" s="20" t="s">
        <v>13</v>
      </c>
      <c r="J62" s="16" t="s">
        <v>13</v>
      </c>
    </row>
    <row r="63" spans="2:10" ht="15" customHeight="1" x14ac:dyDescent="0.2">
      <c r="B63" s="17" t="s">
        <v>146</v>
      </c>
      <c r="C63" s="18" t="s">
        <v>147</v>
      </c>
      <c r="D63" s="18" t="s">
        <v>13</v>
      </c>
      <c r="E63" s="18" t="s">
        <v>148</v>
      </c>
      <c r="F63" s="19">
        <v>65400</v>
      </c>
      <c r="G63" s="20">
        <v>2570.6799999999998</v>
      </c>
      <c r="H63" s="21">
        <v>2.1819389411999999E-3</v>
      </c>
      <c r="I63" s="20" t="s">
        <v>13</v>
      </c>
      <c r="J63" s="16" t="s">
        <v>13</v>
      </c>
    </row>
    <row r="64" spans="2:10" ht="15" customHeight="1" x14ac:dyDescent="0.2">
      <c r="B64" s="17" t="s">
        <v>149</v>
      </c>
      <c r="C64" s="18" t="s">
        <v>150</v>
      </c>
      <c r="D64" s="18" t="s">
        <v>13</v>
      </c>
      <c r="E64" s="18" t="s">
        <v>29</v>
      </c>
      <c r="F64" s="19">
        <v>923104</v>
      </c>
      <c r="G64" s="20">
        <v>2137.7199999999998</v>
      </c>
      <c r="H64" s="21">
        <v>1.8144516288999999E-3</v>
      </c>
      <c r="I64" s="20" t="s">
        <v>13</v>
      </c>
      <c r="J64" s="16" t="s">
        <v>13</v>
      </c>
    </row>
    <row r="65" spans="2:10" ht="15" customHeight="1" x14ac:dyDescent="0.2">
      <c r="B65" s="17" t="s">
        <v>151</v>
      </c>
      <c r="C65" s="18" t="s">
        <v>152</v>
      </c>
      <c r="D65" s="18" t="s">
        <v>13</v>
      </c>
      <c r="E65" s="18" t="s">
        <v>43</v>
      </c>
      <c r="F65" s="19">
        <v>1834699</v>
      </c>
      <c r="G65" s="20">
        <v>1515.46</v>
      </c>
      <c r="H65" s="21">
        <v>1.2862904709E-3</v>
      </c>
      <c r="I65" s="20" t="s">
        <v>13</v>
      </c>
      <c r="J65" s="16" t="s">
        <v>13</v>
      </c>
    </row>
    <row r="66" spans="2:10" ht="15" customHeight="1" x14ac:dyDescent="0.2">
      <c r="B66" s="17" t="s">
        <v>153</v>
      </c>
      <c r="C66" s="18" t="s">
        <v>154</v>
      </c>
      <c r="D66" s="18" t="s">
        <v>13</v>
      </c>
      <c r="E66" s="18" t="s">
        <v>63</v>
      </c>
      <c r="F66" s="19">
        <v>86475</v>
      </c>
      <c r="G66" s="20">
        <v>1316.28</v>
      </c>
      <c r="H66" s="21">
        <v>1.1172306896999999E-3</v>
      </c>
      <c r="I66" s="20" t="s">
        <v>13</v>
      </c>
      <c r="J66" s="16" t="s">
        <v>13</v>
      </c>
    </row>
    <row r="67" spans="2:10" ht="15" customHeight="1" x14ac:dyDescent="0.2">
      <c r="B67" s="17" t="s">
        <v>155</v>
      </c>
      <c r="C67" s="18" t="s">
        <v>156</v>
      </c>
      <c r="D67" s="18" t="s">
        <v>13</v>
      </c>
      <c r="E67" s="18" t="s">
        <v>157</v>
      </c>
      <c r="F67" s="19">
        <v>3121</v>
      </c>
      <c r="G67" s="20">
        <v>1125.05</v>
      </c>
      <c r="H67" s="21">
        <v>9.5491870079999997E-4</v>
      </c>
      <c r="I67" s="20" t="s">
        <v>13</v>
      </c>
      <c r="J67" s="16" t="s">
        <v>13</v>
      </c>
    </row>
    <row r="68" spans="2:10" ht="15" customHeight="1" x14ac:dyDescent="0.2">
      <c r="B68" s="17" t="s">
        <v>158</v>
      </c>
      <c r="C68" s="18" t="s">
        <v>159</v>
      </c>
      <c r="D68" s="18" t="s">
        <v>13</v>
      </c>
      <c r="E68" s="18" t="s">
        <v>160</v>
      </c>
      <c r="F68" s="19">
        <v>24569</v>
      </c>
      <c r="G68" s="20">
        <v>1043.3699999999999</v>
      </c>
      <c r="H68" s="21">
        <v>8.8559044030000003E-4</v>
      </c>
      <c r="I68" s="20" t="s">
        <v>13</v>
      </c>
      <c r="J68" s="16" t="s">
        <v>13</v>
      </c>
    </row>
    <row r="69" spans="2:10" ht="15" customHeight="1" x14ac:dyDescent="0.2">
      <c r="B69" s="17" t="s">
        <v>161</v>
      </c>
      <c r="C69" s="18" t="s">
        <v>162</v>
      </c>
      <c r="D69" s="18" t="s">
        <v>13</v>
      </c>
      <c r="E69" s="18" t="s">
        <v>56</v>
      </c>
      <c r="F69" s="19">
        <v>108143</v>
      </c>
      <c r="G69" s="20">
        <v>998.21</v>
      </c>
      <c r="H69" s="21">
        <v>8.4725958519999995E-4</v>
      </c>
      <c r="I69" s="20" t="s">
        <v>13</v>
      </c>
      <c r="J69" s="16" t="s">
        <v>13</v>
      </c>
    </row>
    <row r="70" spans="2:10" ht="15" customHeight="1" x14ac:dyDescent="0.2">
      <c r="B70" s="17" t="s">
        <v>163</v>
      </c>
      <c r="C70" s="18" t="s">
        <v>164</v>
      </c>
      <c r="D70" s="18" t="s">
        <v>13</v>
      </c>
      <c r="E70" s="18" t="s">
        <v>127</v>
      </c>
      <c r="F70" s="19">
        <v>9321</v>
      </c>
      <c r="G70" s="20">
        <v>179.94</v>
      </c>
      <c r="H70" s="21">
        <v>1.5272927510000001E-4</v>
      </c>
      <c r="I70" s="20" t="s">
        <v>13</v>
      </c>
      <c r="J70" s="16" t="s">
        <v>13</v>
      </c>
    </row>
    <row r="71" spans="2:10" ht="15" customHeight="1" x14ac:dyDescent="0.2">
      <c r="B71" s="17" t="s">
        <v>165</v>
      </c>
      <c r="C71" s="18" t="s">
        <v>166</v>
      </c>
      <c r="D71" s="18" t="s">
        <v>13</v>
      </c>
      <c r="E71" s="18" t="s">
        <v>29</v>
      </c>
      <c r="F71" s="19">
        <v>78527</v>
      </c>
      <c r="G71" s="20">
        <v>176.1</v>
      </c>
      <c r="H71" s="21">
        <v>1.494699641E-4</v>
      </c>
      <c r="I71" s="20" t="s">
        <v>13</v>
      </c>
      <c r="J71" s="16" t="s">
        <v>13</v>
      </c>
    </row>
    <row r="72" spans="2:10" ht="15" customHeight="1" x14ac:dyDescent="0.2">
      <c r="B72" s="17" t="s">
        <v>128</v>
      </c>
      <c r="C72" s="18" t="s">
        <v>167</v>
      </c>
      <c r="D72" s="18" t="s">
        <v>13</v>
      </c>
      <c r="E72" s="18" t="s">
        <v>29</v>
      </c>
      <c r="F72" s="19">
        <v>6616</v>
      </c>
      <c r="G72" s="20">
        <v>116.74</v>
      </c>
      <c r="H72" s="21">
        <v>9.90864487E-5</v>
      </c>
      <c r="I72" s="20" t="s">
        <v>13</v>
      </c>
      <c r="J72" s="16" t="s">
        <v>13</v>
      </c>
    </row>
    <row r="73" spans="2:10" ht="15" customHeight="1" x14ac:dyDescent="0.2">
      <c r="B73" s="17" t="s">
        <v>168</v>
      </c>
      <c r="C73" s="18" t="s">
        <v>169</v>
      </c>
      <c r="D73" s="18" t="s">
        <v>13</v>
      </c>
      <c r="E73" s="18" t="s">
        <v>29</v>
      </c>
      <c r="F73" s="19">
        <v>50580</v>
      </c>
      <c r="G73" s="20">
        <v>101.93</v>
      </c>
      <c r="H73" s="21">
        <v>8.6516033199999996E-5</v>
      </c>
      <c r="I73" s="20" t="s">
        <v>13</v>
      </c>
      <c r="J73" s="16" t="s">
        <v>13</v>
      </c>
    </row>
    <row r="74" spans="2:10" ht="15" customHeight="1" x14ac:dyDescent="0.2">
      <c r="B74" s="17" t="s">
        <v>170</v>
      </c>
      <c r="C74" s="18" t="s">
        <v>171</v>
      </c>
      <c r="D74" s="18" t="s">
        <v>13</v>
      </c>
      <c r="E74" s="18" t="s">
        <v>136</v>
      </c>
      <c r="F74" s="19">
        <v>1043</v>
      </c>
      <c r="G74" s="20">
        <v>5.41</v>
      </c>
      <c r="H74" s="22" t="s">
        <v>172</v>
      </c>
      <c r="I74" s="20" t="s">
        <v>13</v>
      </c>
      <c r="J74" s="16" t="s">
        <v>13</v>
      </c>
    </row>
    <row r="75" spans="2:10" ht="15" customHeight="1" x14ac:dyDescent="0.2">
      <c r="B75" s="17" t="s">
        <v>173</v>
      </c>
      <c r="C75" s="18" t="s">
        <v>174</v>
      </c>
      <c r="D75" s="18" t="s">
        <v>13</v>
      </c>
      <c r="E75" s="18" t="s">
        <v>26</v>
      </c>
      <c r="F75" s="19">
        <v>436</v>
      </c>
      <c r="G75" s="20">
        <v>1.66</v>
      </c>
      <c r="H75" s="22" t="s">
        <v>172</v>
      </c>
      <c r="I75" s="20" t="s">
        <v>13</v>
      </c>
      <c r="J75" s="16" t="s">
        <v>13</v>
      </c>
    </row>
    <row r="76" spans="2:10" ht="15" customHeight="1" x14ac:dyDescent="0.2">
      <c r="B76" s="17" t="s">
        <v>13</v>
      </c>
      <c r="J76" s="16" t="s">
        <v>13</v>
      </c>
    </row>
    <row r="77" spans="2:10" ht="15" customHeight="1" x14ac:dyDescent="0.2">
      <c r="B77" s="12" t="s">
        <v>175</v>
      </c>
      <c r="C77" s="13" t="s">
        <v>13</v>
      </c>
      <c r="D77" s="14" t="s">
        <v>13</v>
      </c>
      <c r="E77" s="13" t="s">
        <v>13</v>
      </c>
      <c r="F77" s="14" t="s">
        <v>13</v>
      </c>
      <c r="G77" s="14">
        <f>SUM(G78:G79)</f>
        <v>39383.03</v>
      </c>
      <c r="H77" s="15">
        <v>3.3427484860053217E-2</v>
      </c>
      <c r="I77" s="14" t="s">
        <v>13</v>
      </c>
      <c r="J77" s="16" t="s">
        <v>13</v>
      </c>
    </row>
    <row r="78" spans="2:10" ht="15" customHeight="1" x14ac:dyDescent="0.2">
      <c r="B78" s="17" t="s">
        <v>176</v>
      </c>
      <c r="C78" s="18" t="s">
        <v>177</v>
      </c>
      <c r="D78" s="18" t="s">
        <v>13</v>
      </c>
      <c r="E78" s="18" t="s">
        <v>178</v>
      </c>
      <c r="F78" s="19">
        <v>330000</v>
      </c>
      <c r="G78" s="20">
        <v>2572.35</v>
      </c>
      <c r="H78" s="21">
        <v>2.1833564018999998E-3</v>
      </c>
      <c r="I78" s="20" t="s">
        <v>13</v>
      </c>
      <c r="J78" s="16" t="s">
        <v>13</v>
      </c>
    </row>
    <row r="79" spans="2:10" ht="15" customHeight="1" x14ac:dyDescent="0.2">
      <c r="B79" s="17" t="s">
        <v>234</v>
      </c>
      <c r="C79" s="18" t="s">
        <v>236</v>
      </c>
      <c r="D79" s="18"/>
      <c r="E79" s="18" t="s">
        <v>235</v>
      </c>
      <c r="F79" s="19">
        <v>1596210</v>
      </c>
      <c r="G79" s="20">
        <v>36810.68</v>
      </c>
      <c r="H79" s="21">
        <v>3.1244128458076077E-2</v>
      </c>
      <c r="I79" s="20"/>
      <c r="J79" s="16"/>
    </row>
    <row r="80" spans="2:10" ht="15" customHeight="1" x14ac:dyDescent="0.2">
      <c r="B80" s="17" t="s">
        <v>13</v>
      </c>
      <c r="J80" s="16" t="s">
        <v>13</v>
      </c>
    </row>
    <row r="81" spans="2:10" ht="15" customHeight="1" x14ac:dyDescent="0.2">
      <c r="B81" s="12" t="s">
        <v>179</v>
      </c>
      <c r="C81" s="13" t="s">
        <v>13</v>
      </c>
      <c r="D81" s="14" t="s">
        <v>13</v>
      </c>
      <c r="E81" s="13" t="s">
        <v>13</v>
      </c>
      <c r="F81" s="14" t="s">
        <v>13</v>
      </c>
      <c r="G81" s="14" t="s">
        <v>180</v>
      </c>
      <c r="H81" s="15" t="s">
        <v>180</v>
      </c>
      <c r="I81" s="14" t="s">
        <v>13</v>
      </c>
      <c r="J81" s="16" t="s">
        <v>13</v>
      </c>
    </row>
    <row r="82" spans="2:10" ht="15" customHeight="1" x14ac:dyDescent="0.2">
      <c r="B82" s="17" t="s">
        <v>13</v>
      </c>
      <c r="J82" s="16" t="s">
        <v>13</v>
      </c>
    </row>
    <row r="83" spans="2:10" ht="15" customHeight="1" x14ac:dyDescent="0.2">
      <c r="B83" s="12" t="s">
        <v>181</v>
      </c>
      <c r="C83" s="13" t="s">
        <v>13</v>
      </c>
      <c r="D83" s="14" t="s">
        <v>13</v>
      </c>
      <c r="E83" s="13" t="s">
        <v>13</v>
      </c>
      <c r="F83" s="14" t="s">
        <v>13</v>
      </c>
      <c r="G83" s="14" t="s">
        <v>180</v>
      </c>
      <c r="H83" s="15" t="s">
        <v>180</v>
      </c>
      <c r="I83" s="14" t="s">
        <v>13</v>
      </c>
      <c r="J83" s="16" t="s">
        <v>13</v>
      </c>
    </row>
    <row r="84" spans="2:10" ht="15" customHeight="1" x14ac:dyDescent="0.2">
      <c r="B84" s="17" t="s">
        <v>13</v>
      </c>
      <c r="J84" s="16" t="s">
        <v>13</v>
      </c>
    </row>
    <row r="85" spans="2:10" ht="15" customHeight="1" x14ac:dyDescent="0.2">
      <c r="B85" s="12" t="s">
        <v>14</v>
      </c>
      <c r="C85" s="13" t="s">
        <v>13</v>
      </c>
      <c r="D85" s="14" t="s">
        <v>13</v>
      </c>
      <c r="E85" s="13" t="s">
        <v>13</v>
      </c>
      <c r="F85" s="14" t="s">
        <v>13</v>
      </c>
      <c r="G85" s="14" t="s">
        <v>180</v>
      </c>
      <c r="H85" s="15" t="s">
        <v>180</v>
      </c>
      <c r="I85" s="14" t="s">
        <v>13</v>
      </c>
      <c r="J85" s="16" t="s">
        <v>13</v>
      </c>
    </row>
    <row r="86" spans="2:10" ht="15" customHeight="1" x14ac:dyDescent="0.2">
      <c r="B86" s="17" t="s">
        <v>13</v>
      </c>
      <c r="J86" s="16" t="s">
        <v>13</v>
      </c>
    </row>
    <row r="87" spans="2:10" ht="15" customHeight="1" x14ac:dyDescent="0.2">
      <c r="B87" s="12" t="s">
        <v>182</v>
      </c>
      <c r="C87" s="13" t="s">
        <v>13</v>
      </c>
      <c r="D87" s="14" t="s">
        <v>13</v>
      </c>
      <c r="E87" s="13" t="s">
        <v>13</v>
      </c>
      <c r="F87" s="14" t="s">
        <v>13</v>
      </c>
      <c r="G87" s="14" t="s">
        <v>180</v>
      </c>
      <c r="H87" s="15" t="s">
        <v>180</v>
      </c>
      <c r="I87" s="14" t="s">
        <v>13</v>
      </c>
      <c r="J87" s="16" t="s">
        <v>13</v>
      </c>
    </row>
    <row r="88" spans="2:10" ht="15" customHeight="1" x14ac:dyDescent="0.2">
      <c r="B88" s="17" t="s">
        <v>13</v>
      </c>
      <c r="J88" s="16" t="s">
        <v>13</v>
      </c>
    </row>
    <row r="89" spans="2:10" ht="15" customHeight="1" x14ac:dyDescent="0.2">
      <c r="B89" s="12" t="s">
        <v>183</v>
      </c>
      <c r="C89" s="13" t="s">
        <v>13</v>
      </c>
      <c r="D89" s="14" t="s">
        <v>13</v>
      </c>
      <c r="E89" s="13" t="s">
        <v>13</v>
      </c>
      <c r="F89" s="14" t="s">
        <v>13</v>
      </c>
      <c r="G89" s="14" t="s">
        <v>180</v>
      </c>
      <c r="H89" s="15" t="s">
        <v>180</v>
      </c>
      <c r="I89" s="14" t="s">
        <v>13</v>
      </c>
      <c r="J89" s="16" t="s">
        <v>13</v>
      </c>
    </row>
    <row r="90" spans="2:10" ht="15" customHeight="1" x14ac:dyDescent="0.2">
      <c r="B90" s="17" t="s">
        <v>13</v>
      </c>
      <c r="J90" s="16" t="s">
        <v>13</v>
      </c>
    </row>
    <row r="91" spans="2:10" ht="15" customHeight="1" x14ac:dyDescent="0.2">
      <c r="B91" s="12" t="s">
        <v>184</v>
      </c>
      <c r="C91" s="13" t="s">
        <v>13</v>
      </c>
      <c r="D91" s="14" t="s">
        <v>13</v>
      </c>
      <c r="E91" s="13" t="s">
        <v>13</v>
      </c>
      <c r="F91" s="14" t="s">
        <v>13</v>
      </c>
      <c r="G91" s="14" t="s">
        <v>180</v>
      </c>
      <c r="H91" s="15" t="s">
        <v>180</v>
      </c>
      <c r="I91" s="14" t="s">
        <v>13</v>
      </c>
      <c r="J91" s="16" t="s">
        <v>13</v>
      </c>
    </row>
    <row r="92" spans="2:10" ht="15" customHeight="1" x14ac:dyDescent="0.2">
      <c r="B92" s="17" t="s">
        <v>13</v>
      </c>
      <c r="J92" s="16" t="s">
        <v>13</v>
      </c>
    </row>
    <row r="93" spans="2:10" ht="15" customHeight="1" x14ac:dyDescent="0.2">
      <c r="B93" s="12" t="s">
        <v>185</v>
      </c>
      <c r="C93" s="13" t="s">
        <v>13</v>
      </c>
      <c r="D93" s="14" t="s">
        <v>13</v>
      </c>
      <c r="E93" s="13" t="s">
        <v>13</v>
      </c>
      <c r="F93" s="14" t="s">
        <v>13</v>
      </c>
      <c r="G93" s="14" t="s">
        <v>180</v>
      </c>
      <c r="H93" s="15" t="s">
        <v>180</v>
      </c>
      <c r="I93" s="14" t="s">
        <v>13</v>
      </c>
      <c r="J93" s="16" t="s">
        <v>13</v>
      </c>
    </row>
    <row r="94" spans="2:10" ht="15" customHeight="1" x14ac:dyDescent="0.2">
      <c r="B94" s="17" t="s">
        <v>13</v>
      </c>
      <c r="J94" s="16" t="s">
        <v>13</v>
      </c>
    </row>
    <row r="95" spans="2:10" ht="15" customHeight="1" x14ac:dyDescent="0.2">
      <c r="B95" s="12" t="s">
        <v>186</v>
      </c>
      <c r="C95" s="13" t="s">
        <v>13</v>
      </c>
      <c r="D95" s="14" t="s">
        <v>13</v>
      </c>
      <c r="E95" s="13" t="s">
        <v>13</v>
      </c>
      <c r="F95" s="14" t="s">
        <v>13</v>
      </c>
      <c r="G95" s="14">
        <v>22807.87</v>
      </c>
      <c r="H95" s="15">
        <v>1.9358838796999997E-2</v>
      </c>
      <c r="I95" s="14" t="s">
        <v>13</v>
      </c>
      <c r="J95" s="16" t="s">
        <v>13</v>
      </c>
    </row>
    <row r="96" spans="2:10" ht="15" customHeight="1" x14ac:dyDescent="0.2">
      <c r="B96" s="17" t="s">
        <v>13</v>
      </c>
      <c r="J96" s="16" t="s">
        <v>13</v>
      </c>
    </row>
    <row r="97" spans="2:10" ht="15" customHeight="1" x14ac:dyDescent="0.2">
      <c r="B97" s="12" t="s">
        <v>187</v>
      </c>
      <c r="C97" s="13" t="s">
        <v>13</v>
      </c>
      <c r="D97" s="14" t="s">
        <v>13</v>
      </c>
      <c r="E97" s="13" t="s">
        <v>13</v>
      </c>
      <c r="F97" s="14" t="s">
        <v>13</v>
      </c>
      <c r="G97" s="14" t="s">
        <v>180</v>
      </c>
      <c r="H97" s="15" t="s">
        <v>180</v>
      </c>
      <c r="I97" s="14" t="s">
        <v>13</v>
      </c>
      <c r="J97" s="16" t="s">
        <v>13</v>
      </c>
    </row>
    <row r="98" spans="2:10" ht="15" customHeight="1" x14ac:dyDescent="0.2">
      <c r="B98" s="17" t="s">
        <v>13</v>
      </c>
      <c r="J98" s="16" t="s">
        <v>13</v>
      </c>
    </row>
    <row r="99" spans="2:10" ht="15" customHeight="1" x14ac:dyDescent="0.2">
      <c r="B99" s="12" t="s">
        <v>188</v>
      </c>
      <c r="C99" s="13" t="s">
        <v>13</v>
      </c>
      <c r="D99" s="14" t="s">
        <v>13</v>
      </c>
      <c r="E99" s="13" t="s">
        <v>13</v>
      </c>
      <c r="F99" s="14" t="s">
        <v>13</v>
      </c>
      <c r="G99" s="14" t="s">
        <v>180</v>
      </c>
      <c r="H99" s="15" t="s">
        <v>180</v>
      </c>
      <c r="I99" s="14" t="s">
        <v>13</v>
      </c>
      <c r="J99" s="16" t="s">
        <v>13</v>
      </c>
    </row>
    <row r="100" spans="2:10" ht="15" customHeight="1" x14ac:dyDescent="0.2">
      <c r="B100" s="17" t="s">
        <v>13</v>
      </c>
      <c r="J100" s="16" t="s">
        <v>13</v>
      </c>
    </row>
    <row r="101" spans="2:10" ht="15" customHeight="1" x14ac:dyDescent="0.2">
      <c r="B101" s="12" t="s">
        <v>189</v>
      </c>
      <c r="C101" s="13" t="s">
        <v>13</v>
      </c>
      <c r="D101" s="14" t="s">
        <v>13</v>
      </c>
      <c r="E101" s="13" t="s">
        <v>13</v>
      </c>
      <c r="F101" s="14" t="s">
        <v>13</v>
      </c>
      <c r="G101" s="14">
        <v>22807.87</v>
      </c>
      <c r="H101" s="15">
        <v>1.9358838796999997E-2</v>
      </c>
      <c r="I101" s="14" t="s">
        <v>13</v>
      </c>
      <c r="J101" s="16" t="s">
        <v>13</v>
      </c>
    </row>
    <row r="102" spans="2:10" ht="15" customHeight="1" x14ac:dyDescent="0.2">
      <c r="B102" s="17" t="s">
        <v>190</v>
      </c>
      <c r="C102" s="18" t="s">
        <v>191</v>
      </c>
      <c r="D102" s="18" t="s">
        <v>13</v>
      </c>
      <c r="E102" s="18" t="s">
        <v>192</v>
      </c>
      <c r="F102" s="19">
        <v>10300000</v>
      </c>
      <c r="G102" s="20">
        <v>10263.719999999999</v>
      </c>
      <c r="H102" s="21">
        <v>8.7116289657999998E-3</v>
      </c>
      <c r="I102" s="20">
        <v>6.45</v>
      </c>
      <c r="J102" s="16" t="s">
        <v>13</v>
      </c>
    </row>
    <row r="103" spans="2:10" ht="15" customHeight="1" x14ac:dyDescent="0.2">
      <c r="B103" s="17" t="s">
        <v>193</v>
      </c>
      <c r="C103" s="18" t="s">
        <v>194</v>
      </c>
      <c r="D103" s="18" t="s">
        <v>13</v>
      </c>
      <c r="E103" s="18" t="s">
        <v>192</v>
      </c>
      <c r="F103" s="19">
        <v>3500000</v>
      </c>
      <c r="G103" s="20">
        <v>3479.1</v>
      </c>
      <c r="H103" s="21">
        <v>2.9529866689999998E-3</v>
      </c>
      <c r="I103" s="20">
        <v>6.45</v>
      </c>
      <c r="J103" s="16" t="s">
        <v>13</v>
      </c>
    </row>
    <row r="104" spans="2:10" ht="15" customHeight="1" x14ac:dyDescent="0.2">
      <c r="B104" s="17" t="s">
        <v>190</v>
      </c>
      <c r="C104" s="18" t="s">
        <v>195</v>
      </c>
      <c r="D104" s="18" t="s">
        <v>13</v>
      </c>
      <c r="E104" s="18" t="s">
        <v>192</v>
      </c>
      <c r="F104" s="19">
        <v>3000000</v>
      </c>
      <c r="G104" s="20">
        <v>2996.82</v>
      </c>
      <c r="H104" s="21">
        <v>2.5436375813999998E-3</v>
      </c>
      <c r="I104" s="20">
        <v>6.45</v>
      </c>
      <c r="J104" s="16" t="s">
        <v>13</v>
      </c>
    </row>
    <row r="105" spans="2:10" ht="15" customHeight="1" x14ac:dyDescent="0.2">
      <c r="B105" s="17" t="s">
        <v>193</v>
      </c>
      <c r="C105" s="18" t="s">
        <v>196</v>
      </c>
      <c r="D105" s="18" t="s">
        <v>13</v>
      </c>
      <c r="E105" s="18" t="s">
        <v>192</v>
      </c>
      <c r="F105" s="19">
        <v>2600000</v>
      </c>
      <c r="G105" s="20">
        <v>2590.39</v>
      </c>
      <c r="H105" s="21">
        <v>2.1986683732999998E-3</v>
      </c>
      <c r="I105" s="20">
        <v>6.45</v>
      </c>
      <c r="J105" s="16" t="s">
        <v>13</v>
      </c>
    </row>
    <row r="106" spans="2:10" ht="15" customHeight="1" x14ac:dyDescent="0.2">
      <c r="B106" s="17" t="s">
        <v>193</v>
      </c>
      <c r="C106" s="18" t="s">
        <v>197</v>
      </c>
      <c r="D106" s="18" t="s">
        <v>13</v>
      </c>
      <c r="E106" s="18" t="s">
        <v>192</v>
      </c>
      <c r="F106" s="19">
        <v>2000000</v>
      </c>
      <c r="G106" s="20">
        <v>1990.5</v>
      </c>
      <c r="H106" s="21">
        <v>1.6894943992999999E-3</v>
      </c>
      <c r="I106" s="20">
        <v>6.45</v>
      </c>
      <c r="J106" s="16" t="s">
        <v>13</v>
      </c>
    </row>
    <row r="107" spans="2:10" ht="15" customHeight="1" x14ac:dyDescent="0.2">
      <c r="B107" s="17" t="s">
        <v>190</v>
      </c>
      <c r="C107" s="18" t="s">
        <v>198</v>
      </c>
      <c r="D107" s="18" t="s">
        <v>13</v>
      </c>
      <c r="E107" s="18" t="s">
        <v>192</v>
      </c>
      <c r="F107" s="19">
        <v>1500000</v>
      </c>
      <c r="G107" s="20">
        <v>1487.34</v>
      </c>
      <c r="H107" s="21">
        <v>1.2624228082E-3</v>
      </c>
      <c r="I107" s="20">
        <v>6.47</v>
      </c>
      <c r="J107" s="16" t="s">
        <v>13</v>
      </c>
    </row>
    <row r="108" spans="2:10" ht="15" customHeight="1" x14ac:dyDescent="0.2">
      <c r="B108" s="17" t="s">
        <v>13</v>
      </c>
      <c r="J108" s="16" t="s">
        <v>13</v>
      </c>
    </row>
    <row r="109" spans="2:10" ht="15" customHeight="1" x14ac:dyDescent="0.2">
      <c r="B109" s="12" t="s">
        <v>199</v>
      </c>
      <c r="C109" s="13" t="s">
        <v>13</v>
      </c>
      <c r="D109" s="14" t="s">
        <v>13</v>
      </c>
      <c r="E109" s="13" t="s">
        <v>13</v>
      </c>
      <c r="F109" s="14" t="s">
        <v>13</v>
      </c>
      <c r="G109" s="14" t="s">
        <v>180</v>
      </c>
      <c r="H109" s="15" t="s">
        <v>180</v>
      </c>
      <c r="I109" s="14" t="s">
        <v>13</v>
      </c>
      <c r="J109" s="16" t="s">
        <v>13</v>
      </c>
    </row>
    <row r="110" spans="2:10" ht="15" customHeight="1" x14ac:dyDescent="0.2">
      <c r="B110" s="17" t="s">
        <v>13</v>
      </c>
      <c r="J110" s="16" t="s">
        <v>13</v>
      </c>
    </row>
    <row r="111" spans="2:10" ht="15" customHeight="1" x14ac:dyDescent="0.2">
      <c r="B111" s="12" t="s">
        <v>200</v>
      </c>
      <c r="C111" s="13" t="s">
        <v>13</v>
      </c>
      <c r="D111" s="14" t="s">
        <v>13</v>
      </c>
      <c r="E111" s="13" t="s">
        <v>13</v>
      </c>
      <c r="F111" s="14" t="s">
        <v>13</v>
      </c>
      <c r="G111" s="14" t="s">
        <v>180</v>
      </c>
      <c r="H111" s="15" t="s">
        <v>180</v>
      </c>
      <c r="I111" s="14" t="s">
        <v>13</v>
      </c>
      <c r="J111" s="16" t="s">
        <v>13</v>
      </c>
    </row>
    <row r="112" spans="2:10" ht="15" customHeight="1" x14ac:dyDescent="0.2">
      <c r="B112" s="17" t="s">
        <v>13</v>
      </c>
      <c r="J112" s="16" t="s">
        <v>13</v>
      </c>
    </row>
    <row r="113" spans="2:10" ht="15" customHeight="1" x14ac:dyDescent="0.2">
      <c r="B113" s="12" t="s">
        <v>201</v>
      </c>
      <c r="C113" s="13" t="s">
        <v>13</v>
      </c>
      <c r="D113" s="14" t="s">
        <v>13</v>
      </c>
      <c r="E113" s="13" t="s">
        <v>13</v>
      </c>
      <c r="F113" s="14" t="s">
        <v>13</v>
      </c>
      <c r="G113" s="14">
        <v>110050.7</v>
      </c>
      <c r="H113" s="15">
        <v>9.3408712029000002E-2</v>
      </c>
      <c r="I113" s="14" t="s">
        <v>13</v>
      </c>
      <c r="J113" s="16" t="s">
        <v>13</v>
      </c>
    </row>
    <row r="114" spans="2:10" ht="15" customHeight="1" x14ac:dyDescent="0.2">
      <c r="B114" s="17" t="s">
        <v>13</v>
      </c>
      <c r="J114" s="16" t="s">
        <v>13</v>
      </c>
    </row>
    <row r="115" spans="2:10" ht="15" customHeight="1" x14ac:dyDescent="0.2">
      <c r="B115" s="12" t="s">
        <v>202</v>
      </c>
      <c r="C115" s="13" t="s">
        <v>13</v>
      </c>
      <c r="D115" s="14" t="s">
        <v>13</v>
      </c>
      <c r="E115" s="13" t="s">
        <v>13</v>
      </c>
      <c r="F115" s="14" t="s">
        <v>13</v>
      </c>
      <c r="G115" s="14">
        <v>2805</v>
      </c>
      <c r="H115" s="15">
        <v>2.3808248129000001E-3</v>
      </c>
      <c r="I115" s="14" t="s">
        <v>13</v>
      </c>
      <c r="J115" s="16" t="s">
        <v>13</v>
      </c>
    </row>
    <row r="116" spans="2:10" ht="15" customHeight="1" x14ac:dyDescent="0.2">
      <c r="B116" s="17" t="s">
        <v>203</v>
      </c>
      <c r="C116" s="18"/>
      <c r="D116" s="18" t="s">
        <v>13</v>
      </c>
      <c r="E116" s="18"/>
      <c r="G116" s="20">
        <v>2805</v>
      </c>
      <c r="H116" s="21">
        <v>2.3808248129000001E-3</v>
      </c>
      <c r="I116" s="20" t="s">
        <v>13</v>
      </c>
      <c r="J116" s="16" t="s">
        <v>13</v>
      </c>
    </row>
    <row r="117" spans="2:10" ht="15" customHeight="1" x14ac:dyDescent="0.2">
      <c r="B117" s="17" t="s">
        <v>13</v>
      </c>
      <c r="J117" s="16" t="s">
        <v>13</v>
      </c>
    </row>
    <row r="118" spans="2:10" ht="15" customHeight="1" x14ac:dyDescent="0.2">
      <c r="B118" s="23" t="s">
        <v>204</v>
      </c>
      <c r="C118" s="24" t="s">
        <v>13</v>
      </c>
      <c r="D118" s="24" t="s">
        <v>13</v>
      </c>
      <c r="E118" s="24" t="s">
        <v>13</v>
      </c>
      <c r="F118" s="24" t="s">
        <v>13</v>
      </c>
      <c r="G118" s="24">
        <v>-3978.3757102664808</v>
      </c>
      <c r="H118" s="25">
        <v>-3.3767613569229242E-3</v>
      </c>
      <c r="I118" s="24"/>
      <c r="J118" s="21"/>
    </row>
    <row r="119" spans="2:10" ht="15" customHeight="1" x14ac:dyDescent="0.2">
      <c r="B119" s="23" t="s">
        <v>205</v>
      </c>
      <c r="C119" s="24" t="s">
        <v>13</v>
      </c>
      <c r="D119" s="24" t="s">
        <v>13</v>
      </c>
      <c r="E119" s="24" t="s">
        <v>13</v>
      </c>
      <c r="F119" s="24" t="s">
        <v>13</v>
      </c>
      <c r="G119" s="24">
        <v>1178163.12428962</v>
      </c>
      <c r="H119" s="25">
        <v>0.99999999999655342</v>
      </c>
      <c r="I119" s="24" t="s">
        <v>13</v>
      </c>
      <c r="J119" s="26" t="s">
        <v>13</v>
      </c>
    </row>
    <row r="121" spans="2:10" ht="15" customHeight="1" x14ac:dyDescent="0.2">
      <c r="B121" s="24" t="s">
        <v>206</v>
      </c>
      <c r="C121" s="24" t="s">
        <v>13</v>
      </c>
      <c r="D121" s="24" t="s">
        <v>13</v>
      </c>
      <c r="E121" s="24" t="s">
        <v>13</v>
      </c>
      <c r="F121" s="24" t="s">
        <v>13</v>
      </c>
      <c r="G121" s="24" t="s">
        <v>13</v>
      </c>
      <c r="H121" s="24" t="s">
        <v>13</v>
      </c>
    </row>
    <row r="122" spans="2:10" ht="15" customHeight="1" x14ac:dyDescent="0.2">
      <c r="B122" s="24" t="s">
        <v>3</v>
      </c>
      <c r="C122" s="24" t="s">
        <v>4</v>
      </c>
      <c r="D122" s="24" t="s">
        <v>5</v>
      </c>
      <c r="E122" s="24" t="s">
        <v>6</v>
      </c>
      <c r="F122" s="24" t="s">
        <v>7</v>
      </c>
      <c r="G122" s="24" t="s">
        <v>8</v>
      </c>
      <c r="H122" s="24" t="s">
        <v>9</v>
      </c>
    </row>
    <row r="123" spans="2:10" ht="15" customHeight="1" x14ac:dyDescent="0.2">
      <c r="B123" s="12" t="s">
        <v>207</v>
      </c>
      <c r="C123" s="13" t="s">
        <v>13</v>
      </c>
      <c r="D123" s="13" t="s">
        <v>13</v>
      </c>
      <c r="E123" s="13" t="s">
        <v>13</v>
      </c>
      <c r="F123" s="13" t="s">
        <v>13</v>
      </c>
      <c r="G123" s="13" t="s">
        <v>13</v>
      </c>
      <c r="H123" s="13" t="s">
        <v>13</v>
      </c>
    </row>
    <row r="124" spans="2:10" ht="15" customHeight="1" x14ac:dyDescent="0.2">
      <c r="B124" s="17" t="s">
        <v>208</v>
      </c>
      <c r="C124" s="18"/>
      <c r="D124" s="18" t="s">
        <v>13</v>
      </c>
      <c r="E124" s="18" t="s">
        <v>209</v>
      </c>
      <c r="F124" s="19">
        <v>171025</v>
      </c>
      <c r="G124" s="20">
        <v>41710.090000000004</v>
      </c>
      <c r="H124" s="21">
        <v>3.5402644285900002E-2</v>
      </c>
      <c r="I124" s="20" t="s">
        <v>13</v>
      </c>
      <c r="J124" s="16" t="s">
        <v>13</v>
      </c>
    </row>
    <row r="125" spans="2:10" ht="15" customHeight="1" x14ac:dyDescent="0.2">
      <c r="B125" s="17" t="s">
        <v>210</v>
      </c>
      <c r="C125" s="18"/>
      <c r="D125" s="18" t="s">
        <v>13</v>
      </c>
      <c r="E125" s="18" t="s">
        <v>29</v>
      </c>
      <c r="F125" s="19">
        <v>-512100</v>
      </c>
      <c r="G125" s="20">
        <v>-2994.5</v>
      </c>
      <c r="H125" s="21">
        <v>-2.5416684143000001E-3</v>
      </c>
      <c r="I125" s="20" t="s">
        <v>13</v>
      </c>
      <c r="J125" s="16" t="s">
        <v>13</v>
      </c>
    </row>
    <row r="126" spans="2:10" ht="15" customHeight="1" x14ac:dyDescent="0.2">
      <c r="B126" s="17" t="s">
        <v>211</v>
      </c>
      <c r="C126" s="18"/>
      <c r="D126" s="18" t="s">
        <v>13</v>
      </c>
      <c r="E126" s="18" t="s">
        <v>18</v>
      </c>
      <c r="F126" s="19">
        <v>-249900</v>
      </c>
      <c r="G126" s="20">
        <v>-3252.57</v>
      </c>
      <c r="H126" s="21">
        <v>-2.7607127848999998E-3</v>
      </c>
      <c r="I126" s="20" t="s">
        <v>13</v>
      </c>
      <c r="J126" s="16" t="s">
        <v>13</v>
      </c>
    </row>
    <row r="127" spans="2:10" ht="15" customHeight="1" x14ac:dyDescent="0.2">
      <c r="B127" s="17" t="s">
        <v>212</v>
      </c>
      <c r="C127" s="18"/>
      <c r="D127" s="18" t="s">
        <v>13</v>
      </c>
      <c r="E127" s="18" t="s">
        <v>43</v>
      </c>
      <c r="F127" s="19">
        <v>-1576800</v>
      </c>
      <c r="G127" s="20">
        <v>-5022.9000000000005</v>
      </c>
      <c r="H127" s="21">
        <v>-4.263331534E-3</v>
      </c>
      <c r="I127" s="20" t="s">
        <v>13</v>
      </c>
      <c r="J127" s="16" t="s">
        <v>13</v>
      </c>
    </row>
    <row r="128" spans="2:10" ht="15" customHeight="1" x14ac:dyDescent="0.2">
      <c r="B128" s="17" t="s">
        <v>213</v>
      </c>
      <c r="C128" s="18"/>
      <c r="D128" s="18" t="s">
        <v>13</v>
      </c>
      <c r="E128" s="18" t="s">
        <v>26</v>
      </c>
      <c r="F128" s="19">
        <v>-2718000</v>
      </c>
      <c r="G128" s="20">
        <v>-8505.98</v>
      </c>
      <c r="H128" s="21">
        <v>-7.2196963430000002E-3</v>
      </c>
      <c r="I128" s="20" t="s">
        <v>13</v>
      </c>
      <c r="J128" s="16" t="s">
        <v>13</v>
      </c>
    </row>
    <row r="129" spans="2:10" ht="15" customHeight="1" x14ac:dyDescent="0.2">
      <c r="B129" s="17" t="s">
        <v>214</v>
      </c>
      <c r="C129" s="18"/>
      <c r="D129" s="18" t="s">
        <v>13</v>
      </c>
      <c r="E129" s="18" t="s">
        <v>29</v>
      </c>
      <c r="F129" s="19">
        <v>-95500</v>
      </c>
      <c r="G129" s="20">
        <v>-10643.57</v>
      </c>
      <c r="H129" s="21">
        <v>-9.0340376306999991E-3</v>
      </c>
      <c r="I129" s="20" t="s">
        <v>13</v>
      </c>
      <c r="J129" s="16" t="s">
        <v>13</v>
      </c>
    </row>
    <row r="130" spans="2:10" ht="15" customHeight="1" x14ac:dyDescent="0.2">
      <c r="B130" s="17" t="s">
        <v>215</v>
      </c>
      <c r="C130" s="18"/>
      <c r="D130" s="18" t="s">
        <v>13</v>
      </c>
      <c r="E130" s="18" t="s">
        <v>40</v>
      </c>
      <c r="F130" s="19">
        <v>-620550</v>
      </c>
      <c r="G130" s="20">
        <v>-11543.78</v>
      </c>
      <c r="H130" s="21">
        <v>-9.7981168837999993E-3</v>
      </c>
      <c r="I130" s="20" t="s">
        <v>13</v>
      </c>
      <c r="J130" s="16" t="s">
        <v>13</v>
      </c>
    </row>
    <row r="131" spans="2:10" ht="15" customHeight="1" x14ac:dyDescent="0.2">
      <c r="B131" s="17" t="s">
        <v>216</v>
      </c>
      <c r="C131" s="18"/>
      <c r="D131" s="18" t="s">
        <v>13</v>
      </c>
      <c r="E131" s="18" t="s">
        <v>32</v>
      </c>
      <c r="F131" s="19">
        <v>-749075</v>
      </c>
      <c r="G131" s="20">
        <v>-12160.86</v>
      </c>
      <c r="H131" s="21">
        <v>-1.0321881367E-2</v>
      </c>
      <c r="I131" s="20" t="s">
        <v>13</v>
      </c>
      <c r="J131" s="16" t="s">
        <v>13</v>
      </c>
    </row>
    <row r="132" spans="2:10" ht="15" customHeight="1" x14ac:dyDescent="0.2">
      <c r="B132" s="17" t="s">
        <v>217</v>
      </c>
      <c r="C132" s="18"/>
      <c r="D132" s="18" t="s">
        <v>13</v>
      </c>
      <c r="E132" s="18" t="s">
        <v>26</v>
      </c>
      <c r="F132" s="19">
        <v>-1058000</v>
      </c>
      <c r="G132" s="20">
        <v>-14163.98</v>
      </c>
      <c r="H132" s="21">
        <v>-1.2022087356099999E-2</v>
      </c>
      <c r="I132" s="20" t="s">
        <v>13</v>
      </c>
      <c r="J132" s="16" t="s">
        <v>13</v>
      </c>
    </row>
    <row r="133" spans="2:10" ht="15" customHeight="1" x14ac:dyDescent="0.2">
      <c r="B133" s="17" t="s">
        <v>218</v>
      </c>
      <c r="C133" s="18"/>
      <c r="D133" s="18" t="s">
        <v>13</v>
      </c>
      <c r="E133" s="18" t="s">
        <v>18</v>
      </c>
      <c r="F133" s="19">
        <v>-821600</v>
      </c>
      <c r="G133" s="20">
        <v>-14325.42</v>
      </c>
      <c r="H133" s="21">
        <v>-1.2159114221599999E-2</v>
      </c>
      <c r="I133" s="20" t="s">
        <v>13</v>
      </c>
      <c r="J133" s="16" t="s">
        <v>13</v>
      </c>
    </row>
    <row r="134" spans="2:10" ht="15" customHeight="1" x14ac:dyDescent="0.2">
      <c r="B134" s="17" t="s">
        <v>219</v>
      </c>
      <c r="C134" s="18"/>
      <c r="D134" s="18" t="s">
        <v>13</v>
      </c>
      <c r="E134" s="18" t="s">
        <v>43</v>
      </c>
      <c r="F134" s="19">
        <v>-3753000</v>
      </c>
      <c r="G134" s="20">
        <v>-15404.19</v>
      </c>
      <c r="H134" s="21">
        <v>-1.3074751435E-2</v>
      </c>
      <c r="I134" s="20" t="s">
        <v>13</v>
      </c>
      <c r="J134" s="16" t="s">
        <v>13</v>
      </c>
    </row>
    <row r="135" spans="2:10" ht="15" customHeight="1" x14ac:dyDescent="0.2">
      <c r="B135" s="17" t="s">
        <v>220</v>
      </c>
      <c r="C135" s="18"/>
      <c r="D135" s="18" t="s">
        <v>13</v>
      </c>
      <c r="E135" s="18" t="s">
        <v>40</v>
      </c>
      <c r="F135" s="19">
        <v>-896750</v>
      </c>
      <c r="G135" s="20">
        <v>-19750.47</v>
      </c>
      <c r="H135" s="21">
        <v>-1.67637821901E-2</v>
      </c>
      <c r="I135" s="20" t="s">
        <v>13</v>
      </c>
      <c r="J135" s="16" t="s">
        <v>13</v>
      </c>
    </row>
    <row r="139" spans="2:10" ht="15" customHeight="1" x14ac:dyDescent="0.2">
      <c r="B139" s="5" t="s">
        <v>221</v>
      </c>
      <c r="C139" s="4"/>
      <c r="D139" s="4"/>
      <c r="E139" s="4"/>
      <c r="F139" s="4"/>
      <c r="G139" s="4"/>
      <c r="H139" s="4"/>
      <c r="I139" s="4"/>
    </row>
    <row r="143" spans="2:10" ht="15" customHeight="1" x14ac:dyDescent="0.2">
      <c r="B143" s="5" t="s">
        <v>222</v>
      </c>
      <c r="C143" s="4"/>
      <c r="D143" s="4"/>
      <c r="E143" s="4"/>
      <c r="F143" s="4"/>
      <c r="G143" s="4"/>
      <c r="H143" s="4"/>
      <c r="I143" s="4"/>
    </row>
    <row r="144" spans="2:10" ht="15" customHeight="1" x14ac:dyDescent="0.2">
      <c r="B144" s="5" t="s">
        <v>223</v>
      </c>
      <c r="C144" s="4"/>
      <c r="D144" s="4"/>
      <c r="E144" s="4"/>
      <c r="F144" s="4"/>
      <c r="G144" s="4"/>
      <c r="H144" s="4"/>
    </row>
    <row r="145" spans="2:8" ht="15" customHeight="1" x14ac:dyDescent="0.2">
      <c r="B145" s="5" t="s">
        <v>224</v>
      </c>
      <c r="C145" s="4"/>
      <c r="D145" s="4"/>
      <c r="E145" s="4"/>
      <c r="F145" s="4"/>
      <c r="G145" s="4"/>
      <c r="H145" s="4"/>
    </row>
    <row r="147" spans="2:8" ht="15" customHeight="1" x14ac:dyDescent="0.2">
      <c r="B147" s="5" t="s">
        <v>225</v>
      </c>
      <c r="C147" s="4"/>
      <c r="D147" s="4"/>
      <c r="E147" s="4"/>
      <c r="F147" s="4"/>
      <c r="G147" s="4"/>
      <c r="H147" s="4"/>
    </row>
    <row r="149" spans="2:8" ht="15" customHeight="1" thickTop="1" thickBot="1" x14ac:dyDescent="0.25">
      <c r="B149" s="2" t="s">
        <v>226</v>
      </c>
      <c r="C149" s="1"/>
      <c r="D149" s="1"/>
      <c r="E149" s="1"/>
      <c r="F149" s="1"/>
      <c r="G149" s="1"/>
      <c r="H149" s="1"/>
    </row>
    <row r="150" spans="2:8" ht="15" customHeight="1" thickTop="1" thickBot="1" x14ac:dyDescent="0.25">
      <c r="B150" s="1"/>
      <c r="C150" s="1"/>
      <c r="D150" s="1"/>
      <c r="E150" s="1"/>
      <c r="F150" s="1"/>
      <c r="G150" s="1"/>
      <c r="H150" s="1"/>
    </row>
    <row r="151" spans="2:8" ht="15" customHeight="1" thickTop="1" thickBot="1" x14ac:dyDescent="0.25">
      <c r="B151" s="1"/>
      <c r="C151" s="1"/>
      <c r="D151" s="1"/>
      <c r="E151" s="1"/>
      <c r="F151" s="1"/>
      <c r="G151" s="1"/>
      <c r="H151" s="1"/>
    </row>
    <row r="152" spans="2:8" ht="15" customHeight="1" thickTop="1" thickBot="1" x14ac:dyDescent="0.25">
      <c r="B152" s="1"/>
      <c r="C152" s="1"/>
      <c r="D152" s="1"/>
      <c r="E152" s="1"/>
      <c r="F152" s="1"/>
      <c r="G152" s="1"/>
      <c r="H152" s="1"/>
    </row>
    <row r="153" spans="2:8" ht="15" customHeight="1" thickTop="1" thickBot="1" x14ac:dyDescent="0.25">
      <c r="B153" s="1"/>
      <c r="C153" s="1"/>
      <c r="D153" s="1"/>
      <c r="E153" s="1"/>
      <c r="F153" s="1"/>
      <c r="G153" s="1"/>
      <c r="H153" s="1"/>
    </row>
    <row r="154" spans="2:8" ht="15" customHeight="1" thickTop="1" thickBot="1" x14ac:dyDescent="0.25">
      <c r="B154" s="1"/>
      <c r="C154" s="1"/>
      <c r="D154" s="1"/>
      <c r="E154" s="1"/>
      <c r="F154" s="1"/>
      <c r="G154" s="1"/>
      <c r="H154" s="1"/>
    </row>
    <row r="156" spans="2:8" ht="15" customHeight="1" x14ac:dyDescent="0.2">
      <c r="B156" s="5" t="s">
        <v>227</v>
      </c>
      <c r="C156" s="4"/>
      <c r="D156" s="4"/>
      <c r="E156" s="4"/>
      <c r="F156" s="4"/>
      <c r="G156" s="4"/>
      <c r="H156" s="4"/>
    </row>
    <row r="157" spans="2:8" ht="27.6" customHeight="1" x14ac:dyDescent="0.2">
      <c r="B157" s="3" t="s">
        <v>228</v>
      </c>
      <c r="C157" s="4"/>
      <c r="D157" s="4"/>
      <c r="E157" s="4"/>
      <c r="F157" s="4"/>
      <c r="G157" s="4"/>
      <c r="H157" s="4"/>
    </row>
    <row r="158" spans="2:8" ht="27.6" customHeight="1" x14ac:dyDescent="0.2">
      <c r="B158" s="3" t="s">
        <v>229</v>
      </c>
      <c r="C158" s="4"/>
      <c r="D158" s="4"/>
      <c r="E158" s="4"/>
      <c r="F158" s="4"/>
      <c r="G158" s="4"/>
      <c r="H158" s="4"/>
    </row>
    <row r="159" spans="2:8" ht="27.6" customHeight="1" x14ac:dyDescent="0.2">
      <c r="B159" s="3" t="s">
        <v>230</v>
      </c>
      <c r="C159" s="4"/>
      <c r="D159" s="4"/>
      <c r="E159" s="4"/>
      <c r="F159" s="4"/>
      <c r="G159" s="4"/>
      <c r="H159" s="4"/>
    </row>
    <row r="162" spans="2:2" ht="12.75" x14ac:dyDescent="0.2">
      <c r="B162" s="27" t="s">
        <v>231</v>
      </c>
    </row>
    <row r="177" spans="2:2" ht="12.75" x14ac:dyDescent="0.2">
      <c r="B177" s="27" t="s">
        <v>232</v>
      </c>
    </row>
    <row r="178" spans="2:2" ht="12.75" x14ac:dyDescent="0.2">
      <c r="B178" s="27" t="s">
        <v>233</v>
      </c>
    </row>
  </sheetData>
  <mergeCells count="13">
    <mergeCell ref="B157:H157"/>
    <mergeCell ref="B158:H158"/>
    <mergeCell ref="B159:H159"/>
    <mergeCell ref="B144:H144"/>
    <mergeCell ref="B145:H145"/>
    <mergeCell ref="B147:H147"/>
    <mergeCell ref="B149:H154"/>
    <mergeCell ref="B156:H156"/>
    <mergeCell ref="B1:J1"/>
    <mergeCell ref="B2:J2"/>
    <mergeCell ref="B3:J3"/>
    <mergeCell ref="B139:I139"/>
    <mergeCell ref="B143:I143"/>
  </mergeCells>
  <printOptions headings="1" gridLine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BCYCLE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Mandar Pradip Petkar</cp:lastModifiedBy>
  <dcterms:modified xsi:type="dcterms:W3CDTF">2024-11-08T08:20:50Z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dd0be-22e7-4731-ba12-4b11f4b54d4f_Enabled">
    <vt:lpwstr>true</vt:lpwstr>
  </property>
  <property fmtid="{D5CDD505-2E9C-101B-9397-08002B2CF9AE}" pid="3" name="MSIP_Label_f43dd0be-22e7-4731-ba12-4b11f4b54d4f_SetDate">
    <vt:lpwstr>2024-11-08T08:17:48Z</vt:lpwstr>
  </property>
  <property fmtid="{D5CDD505-2E9C-101B-9397-08002B2CF9AE}" pid="4" name="MSIP_Label_f43dd0be-22e7-4731-ba12-4b11f4b54d4f_Method">
    <vt:lpwstr>Privileged</vt:lpwstr>
  </property>
  <property fmtid="{D5CDD505-2E9C-101B-9397-08002B2CF9AE}" pid="5" name="MSIP_Label_f43dd0be-22e7-4731-ba12-4b11f4b54d4f_Name">
    <vt:lpwstr>External-Confidential</vt:lpwstr>
  </property>
  <property fmtid="{D5CDD505-2E9C-101B-9397-08002B2CF9AE}" pid="6" name="MSIP_Label_f43dd0be-22e7-4731-ba12-4b11f4b54d4f_SiteId">
    <vt:lpwstr>4d8b04bf-7a7c-48a0-b6e3-38da5008297e</vt:lpwstr>
  </property>
  <property fmtid="{D5CDD505-2E9C-101B-9397-08002B2CF9AE}" pid="7" name="MSIP_Label_f43dd0be-22e7-4731-ba12-4b11f4b54d4f_ActionId">
    <vt:lpwstr>43255f14-d2dd-413d-b0eb-f07fd83ce79e</vt:lpwstr>
  </property>
  <property fmtid="{D5CDD505-2E9C-101B-9397-08002B2CF9AE}" pid="8" name="MSIP_Label_f43dd0be-22e7-4731-ba12-4b11f4b54d4f_ContentBits">
    <vt:lpwstr>0</vt:lpwstr>
  </property>
</Properties>
</file>